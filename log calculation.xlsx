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a57ba71521d2e/Documents/GitHub/TRBL-Utils/"/>
    </mc:Choice>
  </mc:AlternateContent>
  <xr:revisionPtr revIDLastSave="0" documentId="8_{47B45D2B-3C61-44D5-96DB-EDE9A8F078EB}" xr6:coauthVersionLast="47" xr6:coauthVersionMax="47" xr10:uidLastSave="{00000000-0000-0000-0000-000000000000}"/>
  <bookViews>
    <workbookView xWindow="-98" yWindow="-98" windowWidth="21795" windowHeight="13875" activeTab="1" xr2:uid="{FD7DE64B-D2F6-4319-82A5-BB9A60EADFBD}"/>
  </bookViews>
  <sheets>
    <sheet name="validations" sheetId="1" r:id="rId1"/>
    <sheet name="Sheet1" sheetId="2" r:id="rId2"/>
  </sheets>
  <definedNames>
    <definedName name="_xlnm._FilterDatabase" localSheetId="0" hidden="1">validations!$A$1:$AE$212</definedName>
  </definedNames>
  <calcPr calcId="0"/>
</workbook>
</file>

<file path=xl/calcChain.xml><?xml version="1.0" encoding="utf-8"?>
<calcChain xmlns="http://schemas.openxmlformats.org/spreadsheetml/2006/main">
  <c r="E5" i="2" l="1"/>
  <c r="E4" i="2"/>
  <c r="E3" i="2"/>
</calcChain>
</file>

<file path=xl/sharedStrings.xml><?xml version="1.0" encoding="utf-8"?>
<sst xmlns="http://schemas.openxmlformats.org/spreadsheetml/2006/main" count="2050" uniqueCount="335">
  <si>
    <t>Site ID</t>
  </si>
  <si>
    <t>Pulse Name</t>
  </si>
  <si>
    <t>Breeding_type</t>
  </si>
  <si>
    <t>Complex_type</t>
  </si>
  <si>
    <t>Twiddle</t>
  </si>
  <si>
    <t>Duplicate</t>
  </si>
  <si>
    <t>Original_Hatch_Date</t>
  </si>
  <si>
    <t>Calc_Hatch_Date</t>
  </si>
  <si>
    <t>Hatch_Comment</t>
  </si>
  <si>
    <t>Hatch_Delta</t>
  </si>
  <si>
    <t>Threshold</t>
  </si>
  <si>
    <t>Original_Fledge_Date</t>
  </si>
  <si>
    <t>Calc_Fledge_Date</t>
  </si>
  <si>
    <t>Fledge_Comment</t>
  </si>
  <si>
    <t>Fledge_Delta</t>
  </si>
  <si>
    <t>Original_Dispersal_Date</t>
  </si>
  <si>
    <t>Calc_Dispersal_Date</t>
  </si>
  <si>
    <t>Dispersal_Comment</t>
  </si>
  <si>
    <t>Dispersal_Delta</t>
  </si>
  <si>
    <t>Disp_Threshold</t>
  </si>
  <si>
    <t>log</t>
  </si>
  <si>
    <t>rec_count</t>
  </si>
  <si>
    <t>detections</t>
  </si>
  <si>
    <t>type</t>
  </si>
  <si>
    <t>SC1_Disperse_Calc</t>
  </si>
  <si>
    <t>SC1_Delta</t>
  </si>
  <si>
    <t>Calc_Dispersal_Date_v2_async</t>
  </si>
  <si>
    <t>Dispersal_Comment_v2_async</t>
  </si>
  <si>
    <t>Dispersal_Delta_v2_async</t>
  </si>
  <si>
    <t>Calc_Dispersal_Date_async_c</t>
  </si>
  <si>
    <t>Dispersal_Delta_async_c</t>
  </si>
  <si>
    <t>2017 Rush Ranch p1</t>
  </si>
  <si>
    <t>Sequential</t>
  </si>
  <si>
    <t>equal</t>
  </si>
  <si>
    <t>ND</t>
  </si>
  <si>
    <t>Fledge date was not a date</t>
  </si>
  <si>
    <t>Dispersal date was not a date</t>
  </si>
  <si>
    <t>2017 Rush Ranch p2</t>
  </si>
  <si>
    <t>Threshold met for a 7-day sliding block starting at dispersal_date.</t>
  </si>
  <si>
    <t>2017 Rush Ranch p3</t>
  </si>
  <si>
    <t>2018 Iron Point p1</t>
  </si>
  <si>
    <t>No Colony</t>
  </si>
  <si>
    <t>Hatch date was not a date</t>
  </si>
  <si>
    <t>2018 Markham Ravine p1</t>
  </si>
  <si>
    <t>Asynchronous</t>
  </si>
  <si>
    <t>2018 Markham Ravine - West p1</t>
  </si>
  <si>
    <t>Unknown</t>
  </si>
  <si>
    <t>2018 Markham Ravine Main:</t>
  </si>
  <si>
    <t>pre</t>
  </si>
  <si>
    <t>post</t>
  </si>
  <si>
    <t>2018 Red Wing Ranch p1</t>
  </si>
  <si>
    <t>2018 Rush Ranch p1</t>
  </si>
  <si>
    <t>Simple</t>
  </si>
  <si>
    <t>2018 San Jacinto Wildlife Area - Bridge St. Pond p1</t>
  </si>
  <si>
    <t>2018 San Jacinto Wildlife Area - Little Ramona p1</t>
  </si>
  <si>
    <t>2018 SJWA Little Ramona:</t>
  </si>
  <si>
    <t>2018 SJWA Little Ramona p1</t>
  </si>
  <si>
    <t>not equal</t>
  </si>
  <si>
    <t>Not in range</t>
  </si>
  <si>
    <t>2019 Colusa NWR T27.1 p1</t>
  </si>
  <si>
    <t>2019 Colusa NWR T27.2 p1</t>
  </si>
  <si>
    <t>Computed baseline B is not usable (B=0.0).</t>
  </si>
  <si>
    <t>small</t>
  </si>
  <si>
    <t>2019 Denverton Creek p1</t>
  </si>
  <si>
    <t>0.016318794161537458</t>
  </si>
  <si>
    <t>2019 Denverton Creek p2</t>
  </si>
  <si>
    <t>2019 Hay Landfill p1</t>
  </si>
  <si>
    <t>0.028119494732751462</t>
  </si>
  <si>
    <t>2019 Hay Landfill p2</t>
  </si>
  <si>
    <t>Reached end of dataset before dispersal threshold was met.</t>
  </si>
  <si>
    <t>2019 Iron Point p1</t>
  </si>
  <si>
    <t>No dispersal detected within max_window_days starting at onset.</t>
  </si>
  <si>
    <t>async</t>
  </si>
  <si>
    <t>2019 Leisure Town Road p1</t>
  </si>
  <si>
    <t>2019 Leisure Town Road p2</t>
  </si>
  <si>
    <t>2019 Markham Ravine p1</t>
  </si>
  <si>
    <t>2019 Markham Ravine 2 p1</t>
  </si>
  <si>
    <t>2019 Rush Ranch p1</t>
  </si>
  <si>
    <t>2020 Conaway Ranch p1</t>
  </si>
  <si>
    <t>0.10237830363855785</t>
  </si>
  <si>
    <t>2020 Denverton Creek p1</t>
  </si>
  <si>
    <t>2020 Fort Ord p1</t>
  </si>
  <si>
    <t>2020 Hay Landfill p1</t>
  </si>
  <si>
    <t>2020 Hay Landfill p2</t>
  </si>
  <si>
    <t>2020 Iron Point p1</t>
  </si>
  <si>
    <t>2020 Markham Ravine p1</t>
  </si>
  <si>
    <t>0.012292173804551299</t>
  </si>
  <si>
    <t>2020 Rush Ranch p1</t>
  </si>
  <si>
    <t>2020 Santa Lucia Preserve - Ohlone Pond p1</t>
  </si>
  <si>
    <t>0.024281589161852152</t>
  </si>
  <si>
    <t>2021 Colusa NWR T27.1 p1</t>
  </si>
  <si>
    <t>2021 Colusa NWR T27.2 p1</t>
  </si>
  <si>
    <t>2021 Conaway East p1</t>
  </si>
  <si>
    <t>2021 Conaway South:</t>
  </si>
  <si>
    <t>2021 Conaway South p1</t>
  </si>
  <si>
    <t>2021 Conaway West p1</t>
  </si>
  <si>
    <t>0.016101021573673952</t>
  </si>
  <si>
    <t>2021 Dagnino Pond p1</t>
  </si>
  <si>
    <t>2021 Denverton Creek p1</t>
  </si>
  <si>
    <t>2021 Erle Road-Reeds Creek North p1</t>
  </si>
  <si>
    <t>2021 Erle Road-Reeds Creek South:</t>
  </si>
  <si>
    <t>abandoned</t>
  </si>
  <si>
    <t>2021 Erle Road-Reeds Creek South p1</t>
  </si>
  <si>
    <t>2021 Foley Ranch p1</t>
  </si>
  <si>
    <t>2021 Foley Ranch p2</t>
  </si>
  <si>
    <t>2021 Hale Road 2 p1</t>
  </si>
  <si>
    <t>0.054924547186694726</t>
  </si>
  <si>
    <t>2021 Hay Landfill p1</t>
  </si>
  <si>
    <t>2021 Iron Point p1</t>
  </si>
  <si>
    <t>2021 Kern 1 p1</t>
  </si>
  <si>
    <t>Couldn't check, no fledge start date</t>
  </si>
  <si>
    <t>2021 Kern 2 p1</t>
  </si>
  <si>
    <t>2021 Kern 3 p1</t>
  </si>
  <si>
    <t>2021 Kern 4 p1</t>
  </si>
  <si>
    <t>2021 Kern 5 p1</t>
  </si>
  <si>
    <t>Complex</t>
  </si>
  <si>
    <t>Asynchronous, Sequential</t>
  </si>
  <si>
    <t>2021 Kern 5 p2</t>
  </si>
  <si>
    <t>2021 Kern 6 p1</t>
  </si>
  <si>
    <t>No TRBL</t>
  </si>
  <si>
    <t>2021 Kern 7 p1</t>
  </si>
  <si>
    <t>2021 Markham Ravine p1</t>
  </si>
  <si>
    <t>2021 Orchard Creek p1</t>
  </si>
  <si>
    <t>Additions</t>
  </si>
  <si>
    <t>2021 Orchard Creek p2</t>
  </si>
  <si>
    <t>2021 Panoche Creek Marsh East 1 p1</t>
  </si>
  <si>
    <t>2021 Panoche Creek Marsh East 2: These were definitely in the same colony. 1E had much better data</t>
  </si>
  <si>
    <t>2021 Panoche Creek Marsh East 2 p1</t>
  </si>
  <si>
    <t>2021 Plumas Arboga p1</t>
  </si>
  <si>
    <t>2021 Rancho Jamul p1</t>
  </si>
  <si>
    <t>2021 Rodeo Grounds p1</t>
  </si>
  <si>
    <t>2021 Rush Ranch p1</t>
  </si>
  <si>
    <t>2021 San Jacinto Wildlife Area - Bridge Street Pond p1</t>
  </si>
  <si>
    <t>2021 Sedgwick Reserve p1</t>
  </si>
  <si>
    <t>2021 Willey Wetlands 1 p1</t>
  </si>
  <si>
    <t xml:space="preserve">2021 Willey Wetlands 3: </t>
  </si>
  <si>
    <t>2021 Willey Wetlands 2 p1</t>
  </si>
  <si>
    <t>0.017120936935525362</t>
  </si>
  <si>
    <t>2021 Willey Wetlands 3 p1</t>
  </si>
  <si>
    <t>2021 Wind Wolves Preserve p1</t>
  </si>
  <si>
    <t>2022 Baja CiÃ©nega Redonda North p1</t>
  </si>
  <si>
    <t>2022 Baja CiÃ©nega Redonda North 2 p1</t>
  </si>
  <si>
    <t>2022 Baja CiÃ©nega Redonda North: Had less detections than Baja 1. Keep Baja 1.</t>
  </si>
  <si>
    <t>2022 Colusa NWR T27.1 p1</t>
  </si>
  <si>
    <t>2022 Colusa NWR T27.2 p1</t>
  </si>
  <si>
    <t>2022 Conaway New Easement Pond West p1</t>
  </si>
  <si>
    <t>2022 Conaway North p1</t>
  </si>
  <si>
    <t>2022 Conaway North A p1</t>
  </si>
  <si>
    <t>2022 Conaway North:</t>
  </si>
  <si>
    <t>2022 Conaway Ranch Reservoir p1</t>
  </si>
  <si>
    <t>0.011349669418516494</t>
  </si>
  <si>
    <t>2022 Denverton Creek p1</t>
  </si>
  <si>
    <t>2022 Foley Ranch A p1</t>
  </si>
  <si>
    <t>0.019305155195386624</t>
  </si>
  <si>
    <t>2022 Foley Ranch B p1</t>
  </si>
  <si>
    <t>2022 Foley Ranch A:</t>
  </si>
  <si>
    <t>2022 Hay Landfill p1</t>
  </si>
  <si>
    <t>0.017061971110760046</t>
  </si>
  <si>
    <t>2022 Hay Landfill p2</t>
  </si>
  <si>
    <t>2022 Laguna Seca p1</t>
  </si>
  <si>
    <t>2022 Laguna Seca p2</t>
  </si>
  <si>
    <t>2022 Los Vaqueros Reservoir p1</t>
  </si>
  <si>
    <t>2022 Marsh Creek Reservoir p1</t>
  </si>
  <si>
    <t>2022 Newberry Springs - Lake Wainani p1</t>
  </si>
  <si>
    <t>2022 Oregon State - Dizney Rd p1</t>
  </si>
  <si>
    <t>2022 Oregon State - Prineville Woodward Rd p1</t>
  </si>
  <si>
    <t>2022 Paicines Ranch - Teal Pond p1</t>
  </si>
  <si>
    <t>2022 Paicines Ranch - Teal Pond B p1</t>
  </si>
  <si>
    <t>2022 Paicines Ranch - Teal Pond:</t>
  </si>
  <si>
    <t>0.017892761377200965</t>
  </si>
  <si>
    <t>2022 Panoche Creek Marsh East 1 p1</t>
  </si>
  <si>
    <t>2022 Panoche Creek Marsh East 2 p1</t>
  </si>
  <si>
    <t>0.010040648436324072</t>
  </si>
  <si>
    <t>2022 Panoche Creek Preserve Location 3 p1</t>
  </si>
  <si>
    <t>2022 Plumas Arboga 6 East p1</t>
  </si>
  <si>
    <t>2022 Plumas Arboga 6 East p2</t>
  </si>
  <si>
    <t>2022 Plumas Arboga 6 West p1</t>
  </si>
  <si>
    <t>2022 Plumas Arboga 6 East:</t>
  </si>
  <si>
    <t>0.10302832775800795</t>
  </si>
  <si>
    <t>2022 Private Site 1 - approximate lat lon p1</t>
  </si>
  <si>
    <t>2022 Private Site 2 - approximate lat lon p1</t>
  </si>
  <si>
    <t>2022 Private Site 3 - approximate lat lon p1</t>
  </si>
  <si>
    <t>0.030585911451036986</t>
  </si>
  <si>
    <t>2022 Rancho Jamul p1</t>
  </si>
  <si>
    <t>0.057777321580729964</t>
  </si>
  <si>
    <t>2022 San Jacinto Wildlife Area - Bridge Street Pond p1</t>
  </si>
  <si>
    <t>2022 Santa Lucia Preserve - Ohlone Pond p1</t>
  </si>
  <si>
    <t>small;async</t>
  </si>
  <si>
    <t>2022 Sedgwick Reserve p1</t>
  </si>
  <si>
    <t>2022 Sedgwick Reserve p2</t>
  </si>
  <si>
    <t>2022 Washington State - Harder Spring p1</t>
  </si>
  <si>
    <t>2022 Washington State - Harder Spring p2</t>
  </si>
  <si>
    <t>2022 Washington State - McCain Wetands p1</t>
  </si>
  <si>
    <t>2022 Wind Wolves Preserve - Pleitito Creek p1</t>
  </si>
  <si>
    <t>2022 Wind Wolves Preserve - Santiago Wetlands p1</t>
  </si>
  <si>
    <t>0.031514276747181366</t>
  </si>
  <si>
    <t>2023 45 Sump p1</t>
  </si>
  <si>
    <t>0.039050434363806945</t>
  </si>
  <si>
    <t>2023 Baja CiÃ©nega Redonda North p1</t>
  </si>
  <si>
    <t>2023 Colusa NWR T27.1 p1</t>
  </si>
  <si>
    <t>2023 Colusa NWR T27.2 p1</t>
  </si>
  <si>
    <t>2023 Conaway Ranch Headquarters p1</t>
  </si>
  <si>
    <t>0.053453060096674915</t>
  </si>
  <si>
    <t>2023 Conaway Ranch NE p1</t>
  </si>
  <si>
    <t>0.011281010409689084</t>
  </si>
  <si>
    <t>2023 Conaway Ranch North 1 p1</t>
  </si>
  <si>
    <t>0.1259471253042787</t>
  </si>
  <si>
    <t>2023 Conaway Ranch North 2 p1</t>
  </si>
  <si>
    <t>0.12316610360895172</t>
  </si>
  <si>
    <t>2023 Delevan Blind 4 p1</t>
  </si>
  <si>
    <t>2023 Delevan NWR T43.1 p1</t>
  </si>
  <si>
    <t>2023 Delevan NWR T43.2 p1</t>
  </si>
  <si>
    <t>2023 Denverton Creek p1</t>
  </si>
  <si>
    <t>2023 Hale Road p1</t>
  </si>
  <si>
    <t>0.12887496731739473</t>
  </si>
  <si>
    <t>2023 Hale Road p2</t>
  </si>
  <si>
    <t>2023 Hale Road Site 2 p1</t>
  </si>
  <si>
    <t>2023 Hale Road:</t>
  </si>
  <si>
    <t>0.13109749909608667</t>
  </si>
  <si>
    <t>2023 Iron Point p1</t>
  </si>
  <si>
    <t>2023 Kentucky Lateral p1</t>
  </si>
  <si>
    <t>2023 Kern - Canebreak Ecological Reserve 4 p1</t>
  </si>
  <si>
    <t>2023 Kern - Headquarters 2 p1</t>
  </si>
  <si>
    <t>2023 Kern - Headquarters 2 p2</t>
  </si>
  <si>
    <t>2023 Laguna Fry Confluence 3 p1</t>
  </si>
  <si>
    <t>2023 Laguna Frye Confluence 1 p1</t>
  </si>
  <si>
    <t>Additions, Sequential</t>
  </si>
  <si>
    <t>0.11044365399070201</t>
  </si>
  <si>
    <t>2023 Laguna Frye Confluence 1 p2</t>
  </si>
  <si>
    <t>2023 Laguna Frye Confluence 1 p3</t>
  </si>
  <si>
    <t>2023 Laguna Frye Confluence 1 p4</t>
  </si>
  <si>
    <t>2023 Laguna Frye Confluence 2 p1</t>
  </si>
  <si>
    <t>2023 Laguna Frye Confluence 1:</t>
  </si>
  <si>
    <t>0.10103546656911941</t>
  </si>
  <si>
    <t>2023 Laguna Frye Confluence 2 p2</t>
  </si>
  <si>
    <t>2023 Los Vaqueros - Walnut Trail Marsh p1</t>
  </si>
  <si>
    <t>2023 Los Vaqueros Reservoir p1</t>
  </si>
  <si>
    <t>2023 Los Vaqueros Reservoir p2</t>
  </si>
  <si>
    <t>2023 Markham Ravine p1</t>
  </si>
  <si>
    <t>0.040034640054130724</t>
  </si>
  <si>
    <t>2023 Merced NWR - Cottonwood Trail p1</t>
  </si>
  <si>
    <t>2023 Merced NWR - Cottonwood Trail p2</t>
  </si>
  <si>
    <t>2023 Merced NWR - Deadman Wetland Ditch p1</t>
  </si>
  <si>
    <t>2023 North Regional Pond p1</t>
  </si>
  <si>
    <t>0.039508541283673655</t>
  </si>
  <si>
    <t>2023 Oregon State - Dizney Rd p1</t>
  </si>
  <si>
    <t>2023 Oregon State - Eureka Lane p1</t>
  </si>
  <si>
    <t>2023 Oregon State - Prineville Grimes Rd p1</t>
  </si>
  <si>
    <t>0.011290175544211628</t>
  </si>
  <si>
    <t>2023 Oregon State - Prineville Grimes Rd p2</t>
  </si>
  <si>
    <t>2023 Panoche Creek Preserve - Corrals North West p1</t>
  </si>
  <si>
    <t>2023 Panoche Creek Preserve - Corrals South East:</t>
  </si>
  <si>
    <t>2023 Panoche Creek Preserve - Corrals South East p1</t>
  </si>
  <si>
    <t>0.016475771610041476</t>
  </si>
  <si>
    <t>2023 Petersen Ranch Pond - East p1</t>
  </si>
  <si>
    <t>2023 Petersen Ranch Pond - West p1</t>
  </si>
  <si>
    <t>2023 Peterson Ranch Pond - East:</t>
  </si>
  <si>
    <t>2023 Plumas Arboga 2 p1</t>
  </si>
  <si>
    <t>2023 Plumas Arboga 8 p1</t>
  </si>
  <si>
    <t>2023 Plumas Arboga 8 p2</t>
  </si>
  <si>
    <t>2023 Rancho Jamul - North Pond p1</t>
  </si>
  <si>
    <t>2023 Rancho Jamul - Site 1 p1</t>
  </si>
  <si>
    <t>2023 Rancho Jamul - Site 1 p2</t>
  </si>
  <si>
    <t>2023 San Jacinto Wildlife Area - Bridge St. Pond p1</t>
  </si>
  <si>
    <t>2023 San Jacinto Wildlife Area West of Davis p1</t>
  </si>
  <si>
    <t>0.022696259861224238</t>
  </si>
  <si>
    <t>2023 San Jacinto Wildlife Area West of Davis p2</t>
  </si>
  <si>
    <t>2023 San Luis NWR - Fiddleneck Lake p1</t>
  </si>
  <si>
    <t>2023 San Luis NWR - Tanager Slough p1</t>
  </si>
  <si>
    <t>2023 Sedgwick Reserve p1</t>
  </si>
  <si>
    <t>0.014742399558464408</t>
  </si>
  <si>
    <t>2023 South Virginia Road 3 p1</t>
  </si>
  <si>
    <t>2023 Virginia at Ostrom p1</t>
  </si>
  <si>
    <t>2023 Washington State - Harder Spring p1</t>
  </si>
  <si>
    <t>0.012015060361876807</t>
  </si>
  <si>
    <t>2023 Washington State - Harder Spring p2</t>
  </si>
  <si>
    <t>2023 Washington State - McCain Wetlands p1</t>
  </si>
  <si>
    <t>2023 Wind Wolves Preserve - Los Lobos p1</t>
  </si>
  <si>
    <t>2023 Wind Wolves Preserve - Santiago Wetlands p1</t>
  </si>
  <si>
    <t>0.034088479024589224</t>
  </si>
  <si>
    <t>2024 Baja CiÃ©nega Redonda North p1</t>
  </si>
  <si>
    <t>2024 Baja CiÃ©nega Redonda North p2</t>
  </si>
  <si>
    <t>2024 Baja CiÃ©nega Redonda South p1</t>
  </si>
  <si>
    <t>2024 Baja CiÃ©nega Redonda South p2</t>
  </si>
  <si>
    <t>2024 Baja Lago Mesa Redonda p1</t>
  </si>
  <si>
    <t>0.12440308151982635</t>
  </si>
  <si>
    <t>2024 Baja Lago Mesa Redonda p2</t>
  </si>
  <si>
    <t>2024 Colusa NWR T27.1 p1</t>
  </si>
  <si>
    <t>2024 Colusa NWR T27.2 p1</t>
  </si>
  <si>
    <t>2024 Dagnino Pond p1</t>
  </si>
  <si>
    <t>0.012783957970824517</t>
  </si>
  <si>
    <t>2024 Kern 1 p1</t>
  </si>
  <si>
    <t>2024 Los Vaqueros Reservoir p1</t>
  </si>
  <si>
    <t>2024 Los Vaqueros Reservoir p2</t>
  </si>
  <si>
    <t>2024 Markham Ravine 1 p1</t>
  </si>
  <si>
    <t>2024 Markham Ravine 2 p1</t>
  </si>
  <si>
    <t>2024 Markham Ravine 1:</t>
  </si>
  <si>
    <t>2024 Markham Ravine 3 p1</t>
  </si>
  <si>
    <t>2024 Merced NWR - Duck Slough Farmfield p1</t>
  </si>
  <si>
    <t>0.016776799204672635</t>
  </si>
  <si>
    <t>2024 Moore's Lake p1</t>
  </si>
  <si>
    <t>2024 Newberry Springs  - Lake Wainani p1</t>
  </si>
  <si>
    <t>2024 North Regional Pond p1</t>
  </si>
  <si>
    <t>2024 Oregon State -  Eureka Lane p1</t>
  </si>
  <si>
    <t>2024 Panoche Creek Marsh East p1</t>
  </si>
  <si>
    <t>2024 Panoche Creek Marsh South p1</t>
  </si>
  <si>
    <t>2024 Panoche Creek Marsh East:</t>
  </si>
  <si>
    <t>2024 Panoche Creek Marsh West p1</t>
  </si>
  <si>
    <t>0.012127806930476477</t>
  </si>
  <si>
    <t>2024 Rancho Jamul - Main Pond 1 p1</t>
  </si>
  <si>
    <t>2024 Rancho Jamul - Main Pond 1 p2</t>
  </si>
  <si>
    <t>2024 Rancho Jamul - Main Pond 2 p1</t>
  </si>
  <si>
    <t>2024 Rancho Jamul - Main Pond 1:</t>
  </si>
  <si>
    <t>2024 Rancho Jamul - Main Pond 2 p2</t>
  </si>
  <si>
    <t>2024 Rancho Jamul - North Pond p1</t>
  </si>
  <si>
    <t>2024 San Jacinto Wildlife Area - Thistle Patch NW of Bridge Street Pond p1</t>
  </si>
  <si>
    <t>2024 Santa Lucia Preserve - Ohlone Pond p1</t>
  </si>
  <si>
    <t>0.011902887876410485</t>
  </si>
  <si>
    <t>2024 Sedgwick Reserve p1</t>
  </si>
  <si>
    <t>2024 Washington State - Harder Spring p1</t>
  </si>
  <si>
    <t>0.018330871393750222</t>
  </si>
  <si>
    <t>2024 Washington State - Harder Spring p2</t>
  </si>
  <si>
    <t>2024 Washington State - McCain Wetlands p1</t>
  </si>
  <si>
    <t>2024 Wind Wolves Preserve - Los Lobos p1</t>
  </si>
  <si>
    <t>2024 Wind Wolves Preserve - Pleitito Creek p1</t>
  </si>
  <si>
    <t>0.043874788085928575</t>
  </si>
  <si>
    <t>2024 Wind Wolves Preserve - Pleitito Creek p2</t>
  </si>
  <si>
    <t>2024 Wind Wolves Preserve - Santiago Wetlands p1</t>
  </si>
  <si>
    <t>0.041456226023523696</t>
  </si>
  <si>
    <t>2024 Wind Wolves Preserve - Tevis p1</t>
  </si>
  <si>
    <t>0.014473404539246925</t>
  </si>
  <si>
    <t>Quartile</t>
  </si>
  <si>
    <t>Q3</t>
  </si>
  <si>
    <t>Q2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</si>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</sst>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84C5-77E8-4B9D-891D-2246627F89F0}">
  <sheetPr filterMode="1"/>
  <dimension ref="A1:AE212"/>
  <sheetViews>
    <sheetView workbookViewId="0">
      <selection sqref="A1:B1048576"/>
    </sheetView>
  </sheetViews>
  <sheetFormatPr defaultRowHeight="14.25" x14ac:dyDescent="0.45"/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5">
      <c r="A2">
        <v>2059</v>
      </c>
      <c r="B2" t="s">
        <v>31</v>
      </c>
      <c r="C2" t="s">
        <v>32</v>
      </c>
      <c r="G2" s="1">
        <v>42856</v>
      </c>
      <c r="H2" s="1">
        <v>42856</v>
      </c>
      <c r="I2" t="s">
        <v>33</v>
      </c>
      <c r="J2" t="s">
        <v>33</v>
      </c>
      <c r="K2">
        <v>4</v>
      </c>
      <c r="L2" t="s">
        <v>34</v>
      </c>
      <c r="N2" t="s">
        <v>35</v>
      </c>
      <c r="P2" t="s">
        <v>34</v>
      </c>
      <c r="R2" t="s">
        <v>36</v>
      </c>
      <c r="U2">
        <v>2.61469808341077E-2</v>
      </c>
      <c r="V2">
        <v>2949</v>
      </c>
      <c r="W2">
        <v>183</v>
      </c>
    </row>
    <row r="3" spans="1:31" x14ac:dyDescent="0.45">
      <c r="A3">
        <v>2059</v>
      </c>
      <c r="B3" t="s">
        <v>37</v>
      </c>
      <c r="C3" t="s">
        <v>32</v>
      </c>
      <c r="G3" s="1">
        <v>42885</v>
      </c>
      <c r="H3" s="1">
        <v>42885</v>
      </c>
      <c r="I3" t="s">
        <v>33</v>
      </c>
      <c r="J3" t="s">
        <v>33</v>
      </c>
      <c r="K3">
        <v>4</v>
      </c>
      <c r="L3" s="1">
        <v>42898</v>
      </c>
      <c r="M3" s="1">
        <v>42898</v>
      </c>
      <c r="N3" t="s">
        <v>33</v>
      </c>
      <c r="O3" t="s">
        <v>33</v>
      </c>
      <c r="P3" s="1">
        <v>42909</v>
      </c>
      <c r="Q3" s="2">
        <v>42912</v>
      </c>
      <c r="R3" t="s">
        <v>38</v>
      </c>
      <c r="S3">
        <v>3</v>
      </c>
      <c r="U3">
        <v>2.61469808341077E-2</v>
      </c>
      <c r="V3">
        <v>2949</v>
      </c>
      <c r="W3">
        <v>183</v>
      </c>
    </row>
    <row r="4" spans="1:31" x14ac:dyDescent="0.45">
      <c r="A4">
        <v>2059</v>
      </c>
      <c r="B4" t="s">
        <v>39</v>
      </c>
      <c r="C4" t="s">
        <v>32</v>
      </c>
      <c r="G4" s="1">
        <v>42914</v>
      </c>
      <c r="H4" s="1">
        <v>42914</v>
      </c>
      <c r="I4" t="s">
        <v>33</v>
      </c>
      <c r="J4" t="s">
        <v>33</v>
      </c>
      <c r="K4">
        <v>4</v>
      </c>
      <c r="L4" t="s">
        <v>34</v>
      </c>
      <c r="N4" t="s">
        <v>35</v>
      </c>
      <c r="P4" t="s">
        <v>34</v>
      </c>
      <c r="R4" t="s">
        <v>36</v>
      </c>
      <c r="U4">
        <v>2.61469808341077E-2</v>
      </c>
      <c r="V4">
        <v>2949</v>
      </c>
      <c r="W4">
        <v>183</v>
      </c>
    </row>
    <row r="5" spans="1:31" hidden="1" x14ac:dyDescent="0.45">
      <c r="A5">
        <v>3150</v>
      </c>
      <c r="B5" t="s">
        <v>40</v>
      </c>
      <c r="C5" t="s">
        <v>41</v>
      </c>
      <c r="G5" t="s">
        <v>34</v>
      </c>
      <c r="I5" t="s">
        <v>42</v>
      </c>
      <c r="K5">
        <v>4</v>
      </c>
      <c r="L5" t="s">
        <v>34</v>
      </c>
      <c r="N5" t="s">
        <v>35</v>
      </c>
      <c r="P5" t="s">
        <v>34</v>
      </c>
      <c r="R5" t="s">
        <v>36</v>
      </c>
    </row>
    <row r="6" spans="1:31" x14ac:dyDescent="0.45">
      <c r="A6">
        <v>3348</v>
      </c>
      <c r="B6" t="s">
        <v>43</v>
      </c>
      <c r="C6" t="s">
        <v>44</v>
      </c>
      <c r="G6" t="s">
        <v>34</v>
      </c>
      <c r="I6" t="s">
        <v>42</v>
      </c>
      <c r="K6">
        <v>4</v>
      </c>
      <c r="L6" t="s">
        <v>34</v>
      </c>
      <c r="N6" t="s">
        <v>35</v>
      </c>
      <c r="P6" t="s">
        <v>34</v>
      </c>
      <c r="R6" t="s">
        <v>36</v>
      </c>
      <c r="U6">
        <v>7.5531378904458999E-3</v>
      </c>
      <c r="V6">
        <v>1197</v>
      </c>
      <c r="W6">
        <v>21</v>
      </c>
    </row>
    <row r="7" spans="1:31" x14ac:dyDescent="0.45">
      <c r="A7">
        <v>3366</v>
      </c>
      <c r="B7" t="s">
        <v>45</v>
      </c>
      <c r="C7" t="s">
        <v>46</v>
      </c>
      <c r="F7" t="s">
        <v>47</v>
      </c>
      <c r="G7" t="s">
        <v>48</v>
      </c>
      <c r="I7" t="s">
        <v>42</v>
      </c>
      <c r="K7">
        <v>3</v>
      </c>
      <c r="L7" t="s">
        <v>48</v>
      </c>
      <c r="N7" t="s">
        <v>35</v>
      </c>
      <c r="P7" t="s">
        <v>49</v>
      </c>
      <c r="R7" t="s">
        <v>36</v>
      </c>
      <c r="U7">
        <v>4.9887598169908202E-3</v>
      </c>
      <c r="V7">
        <v>779</v>
      </c>
      <c r="W7">
        <v>9</v>
      </c>
    </row>
    <row r="8" spans="1:31" hidden="1" x14ac:dyDescent="0.45">
      <c r="A8">
        <v>3281</v>
      </c>
      <c r="B8" t="s">
        <v>50</v>
      </c>
      <c r="C8" t="s">
        <v>46</v>
      </c>
      <c r="G8" s="1">
        <v>43237</v>
      </c>
      <c r="H8" s="1">
        <v>43237</v>
      </c>
      <c r="I8" t="s">
        <v>33</v>
      </c>
      <c r="J8" t="s">
        <v>33</v>
      </c>
      <c r="K8">
        <v>4</v>
      </c>
      <c r="L8" t="s">
        <v>34</v>
      </c>
      <c r="N8" t="s">
        <v>35</v>
      </c>
      <c r="P8" t="s">
        <v>34</v>
      </c>
      <c r="R8" t="s">
        <v>36</v>
      </c>
    </row>
    <row r="9" spans="1:31" x14ac:dyDescent="0.45">
      <c r="A9">
        <v>2719</v>
      </c>
      <c r="B9" t="s">
        <v>51</v>
      </c>
      <c r="C9" t="s">
        <v>52</v>
      </c>
      <c r="G9" s="1">
        <v>43246</v>
      </c>
      <c r="H9" s="1">
        <v>43246</v>
      </c>
      <c r="I9" t="s">
        <v>33</v>
      </c>
      <c r="J9" t="s">
        <v>33</v>
      </c>
      <c r="K9">
        <v>4</v>
      </c>
      <c r="L9" s="1">
        <v>43262</v>
      </c>
      <c r="M9" s="1">
        <v>43262</v>
      </c>
      <c r="N9" t="s">
        <v>33</v>
      </c>
      <c r="O9" t="s">
        <v>33</v>
      </c>
      <c r="P9" t="s">
        <v>49</v>
      </c>
      <c r="R9" t="s">
        <v>36</v>
      </c>
      <c r="U9">
        <v>5.6867773347727801E-2</v>
      </c>
      <c r="V9">
        <v>822</v>
      </c>
      <c r="W9">
        <v>115</v>
      </c>
    </row>
    <row r="10" spans="1:31" hidden="1" x14ac:dyDescent="0.45">
      <c r="A10">
        <v>3682</v>
      </c>
      <c r="B10" t="s">
        <v>53</v>
      </c>
      <c r="C10" t="s">
        <v>46</v>
      </c>
      <c r="G10" t="s">
        <v>34</v>
      </c>
      <c r="I10" t="s">
        <v>42</v>
      </c>
      <c r="K10">
        <v>4</v>
      </c>
      <c r="L10" t="s">
        <v>34</v>
      </c>
      <c r="N10" t="s">
        <v>35</v>
      </c>
      <c r="P10" t="s">
        <v>34</v>
      </c>
      <c r="R10" t="s">
        <v>36</v>
      </c>
    </row>
    <row r="11" spans="1:31" hidden="1" x14ac:dyDescent="0.45">
      <c r="A11">
        <v>3417</v>
      </c>
      <c r="B11" t="s">
        <v>54</v>
      </c>
      <c r="C11" t="s">
        <v>41</v>
      </c>
      <c r="F11" t="s">
        <v>55</v>
      </c>
      <c r="G11" t="s">
        <v>34</v>
      </c>
      <c r="I11" t="s">
        <v>42</v>
      </c>
      <c r="K11">
        <v>1</v>
      </c>
      <c r="L11" t="s">
        <v>34</v>
      </c>
      <c r="N11" t="s">
        <v>35</v>
      </c>
      <c r="P11" t="s">
        <v>34</v>
      </c>
      <c r="R11" t="s">
        <v>36</v>
      </c>
    </row>
    <row r="12" spans="1:31" hidden="1" x14ac:dyDescent="0.45">
      <c r="A12">
        <v>82621</v>
      </c>
      <c r="B12" t="s">
        <v>56</v>
      </c>
      <c r="C12" t="s">
        <v>46</v>
      </c>
      <c r="E12" t="s">
        <v>4</v>
      </c>
      <c r="G12" s="1">
        <v>43214</v>
      </c>
      <c r="I12" t="s">
        <v>57</v>
      </c>
      <c r="J12" t="s">
        <v>58</v>
      </c>
      <c r="K12">
        <v>4</v>
      </c>
      <c r="L12" t="s">
        <v>34</v>
      </c>
      <c r="N12" t="s">
        <v>35</v>
      </c>
      <c r="P12" t="s">
        <v>34</v>
      </c>
      <c r="R12" t="s">
        <v>36</v>
      </c>
    </row>
    <row r="13" spans="1:31" x14ac:dyDescent="0.45">
      <c r="A13">
        <v>5642</v>
      </c>
      <c r="B13" t="s">
        <v>59</v>
      </c>
      <c r="C13" t="s">
        <v>52</v>
      </c>
      <c r="G13" t="s">
        <v>34</v>
      </c>
      <c r="I13" t="s">
        <v>42</v>
      </c>
      <c r="K13">
        <v>4</v>
      </c>
      <c r="L13" s="1">
        <v>43643</v>
      </c>
      <c r="M13" s="1">
        <v>43643</v>
      </c>
      <c r="N13" t="s">
        <v>33</v>
      </c>
      <c r="O13" t="s">
        <v>33</v>
      </c>
      <c r="P13" s="1">
        <v>43668</v>
      </c>
      <c r="Q13" s="2">
        <v>43668</v>
      </c>
      <c r="R13" t="s">
        <v>38</v>
      </c>
      <c r="S13">
        <v>0</v>
      </c>
      <c r="U13">
        <v>5.1424901771240102E-2</v>
      </c>
      <c r="V13">
        <v>3365</v>
      </c>
      <c r="W13">
        <v>423</v>
      </c>
    </row>
    <row r="14" spans="1:31" x14ac:dyDescent="0.45">
      <c r="A14">
        <v>5643</v>
      </c>
      <c r="B14" t="s">
        <v>60</v>
      </c>
      <c r="C14" t="s">
        <v>52</v>
      </c>
      <c r="E14" t="s">
        <v>4</v>
      </c>
      <c r="G14" s="1">
        <v>43614</v>
      </c>
      <c r="H14" s="1">
        <v>43614</v>
      </c>
      <c r="I14" t="s">
        <v>33</v>
      </c>
      <c r="J14" t="s">
        <v>33</v>
      </c>
      <c r="K14">
        <v>4</v>
      </c>
      <c r="L14" s="1">
        <v>43630</v>
      </c>
      <c r="N14" t="s">
        <v>57</v>
      </c>
      <c r="O14" t="s">
        <v>58</v>
      </c>
      <c r="P14" s="1">
        <v>43631</v>
      </c>
      <c r="R14" t="s">
        <v>61</v>
      </c>
      <c r="U14">
        <v>1.4797100580478499E-3</v>
      </c>
      <c r="V14">
        <v>293</v>
      </c>
      <c r="W14">
        <v>1</v>
      </c>
      <c r="X14" t="s">
        <v>62</v>
      </c>
      <c r="Y14" s="1">
        <v>43631</v>
      </c>
      <c r="Z14" t="s">
        <v>33</v>
      </c>
    </row>
    <row r="15" spans="1:31" x14ac:dyDescent="0.45">
      <c r="A15">
        <v>4455</v>
      </c>
      <c r="B15" t="s">
        <v>63</v>
      </c>
      <c r="C15" t="s">
        <v>32</v>
      </c>
      <c r="G15" s="1">
        <v>43595</v>
      </c>
      <c r="H15" s="1">
        <v>43595</v>
      </c>
      <c r="I15" t="s">
        <v>33</v>
      </c>
      <c r="J15" t="s">
        <v>33</v>
      </c>
      <c r="K15">
        <v>4</v>
      </c>
      <c r="L15" s="1">
        <v>43608</v>
      </c>
      <c r="M15" s="1">
        <v>43608</v>
      </c>
      <c r="N15" t="s">
        <v>33</v>
      </c>
      <c r="O15" t="s">
        <v>33</v>
      </c>
      <c r="P15" s="1">
        <v>43618</v>
      </c>
      <c r="Q15" s="2">
        <v>43618</v>
      </c>
      <c r="R15" t="s">
        <v>38</v>
      </c>
      <c r="S15">
        <v>0</v>
      </c>
      <c r="U15" s="3" t="s">
        <v>64</v>
      </c>
      <c r="V15">
        <v>3369</v>
      </c>
      <c r="W15">
        <v>129</v>
      </c>
    </row>
    <row r="16" spans="1:31" x14ac:dyDescent="0.45">
      <c r="A16">
        <v>4455</v>
      </c>
      <c r="B16" t="s">
        <v>65</v>
      </c>
      <c r="C16" t="s">
        <v>32</v>
      </c>
      <c r="E16" t="s">
        <v>4</v>
      </c>
      <c r="G16" s="1">
        <v>43616</v>
      </c>
      <c r="I16" t="s">
        <v>57</v>
      </c>
      <c r="J16" t="s">
        <v>58</v>
      </c>
      <c r="K16">
        <v>4</v>
      </c>
      <c r="L16" t="s">
        <v>34</v>
      </c>
      <c r="N16" t="s">
        <v>35</v>
      </c>
      <c r="P16" t="s">
        <v>34</v>
      </c>
      <c r="R16" t="s">
        <v>36</v>
      </c>
      <c r="U16" s="3" t="s">
        <v>64</v>
      </c>
      <c r="V16">
        <v>3369</v>
      </c>
      <c r="W16">
        <v>129</v>
      </c>
    </row>
    <row r="17" spans="1:31" x14ac:dyDescent="0.45">
      <c r="A17">
        <v>4456</v>
      </c>
      <c r="B17" t="s">
        <v>66</v>
      </c>
      <c r="C17" t="s">
        <v>32</v>
      </c>
      <c r="G17" s="1">
        <v>43582</v>
      </c>
      <c r="H17" s="1">
        <v>43582</v>
      </c>
      <c r="I17" t="s">
        <v>33</v>
      </c>
      <c r="J17" t="s">
        <v>33</v>
      </c>
      <c r="K17">
        <v>4</v>
      </c>
      <c r="L17" s="1">
        <v>43596</v>
      </c>
      <c r="M17" s="1">
        <v>43596</v>
      </c>
      <c r="N17" t="s">
        <v>33</v>
      </c>
      <c r="O17" t="s">
        <v>33</v>
      </c>
      <c r="P17" s="1">
        <v>43615</v>
      </c>
      <c r="Q17" s="2">
        <v>43615</v>
      </c>
      <c r="R17" t="s">
        <v>38</v>
      </c>
      <c r="S17">
        <v>0</v>
      </c>
      <c r="U17" s="3" t="s">
        <v>67</v>
      </c>
      <c r="V17">
        <v>4485</v>
      </c>
      <c r="W17">
        <v>300</v>
      </c>
    </row>
    <row r="18" spans="1:31" x14ac:dyDescent="0.45">
      <c r="A18">
        <v>4456</v>
      </c>
      <c r="B18" t="s">
        <v>68</v>
      </c>
      <c r="C18" t="s">
        <v>32</v>
      </c>
      <c r="G18" s="1">
        <v>43625</v>
      </c>
      <c r="H18" s="1">
        <v>43625</v>
      </c>
      <c r="I18" t="s">
        <v>33</v>
      </c>
      <c r="J18" t="s">
        <v>33</v>
      </c>
      <c r="K18">
        <v>4</v>
      </c>
      <c r="L18" s="1">
        <v>43639</v>
      </c>
      <c r="M18" s="1">
        <v>43639</v>
      </c>
      <c r="N18" t="s">
        <v>33</v>
      </c>
      <c r="O18" t="s">
        <v>33</v>
      </c>
      <c r="P18" s="1">
        <v>43649</v>
      </c>
      <c r="R18" t="s">
        <v>69</v>
      </c>
      <c r="U18" s="3" t="s">
        <v>67</v>
      </c>
      <c r="V18">
        <v>4485</v>
      </c>
      <c r="W18">
        <v>300</v>
      </c>
    </row>
    <row r="19" spans="1:31" x14ac:dyDescent="0.45">
      <c r="A19">
        <v>4979</v>
      </c>
      <c r="B19" t="s">
        <v>70</v>
      </c>
      <c r="C19" t="s">
        <v>44</v>
      </c>
      <c r="G19" s="1">
        <v>43588</v>
      </c>
      <c r="H19" s="1">
        <v>43588</v>
      </c>
      <c r="I19" t="s">
        <v>33</v>
      </c>
      <c r="J19" t="s">
        <v>33</v>
      </c>
      <c r="K19">
        <v>4</v>
      </c>
      <c r="L19" s="1">
        <v>43599</v>
      </c>
      <c r="M19" s="1">
        <v>43599</v>
      </c>
      <c r="N19" t="s">
        <v>33</v>
      </c>
      <c r="O19" t="s">
        <v>33</v>
      </c>
      <c r="P19" s="1">
        <v>43653</v>
      </c>
      <c r="R19" t="s">
        <v>71</v>
      </c>
      <c r="U19">
        <v>9.4948419779280299E-2</v>
      </c>
      <c r="V19">
        <v>5725</v>
      </c>
      <c r="W19">
        <v>1399</v>
      </c>
      <c r="X19" t="s">
        <v>72</v>
      </c>
      <c r="AA19" s="1">
        <v>43656</v>
      </c>
      <c r="AB19" t="s">
        <v>38</v>
      </c>
      <c r="AC19">
        <v>3</v>
      </c>
      <c r="AD19" s="1">
        <v>43653</v>
      </c>
      <c r="AE19" t="s">
        <v>33</v>
      </c>
    </row>
    <row r="20" spans="1:31" x14ac:dyDescent="0.45">
      <c r="A20">
        <v>4639</v>
      </c>
      <c r="B20" t="s">
        <v>73</v>
      </c>
      <c r="C20" t="s">
        <v>32</v>
      </c>
      <c r="E20" t="s">
        <v>4</v>
      </c>
      <c r="G20" t="s">
        <v>34</v>
      </c>
      <c r="I20" t="s">
        <v>42</v>
      </c>
      <c r="K20">
        <v>4</v>
      </c>
      <c r="L20" s="1">
        <v>43603</v>
      </c>
      <c r="M20" s="1">
        <v>43603</v>
      </c>
      <c r="N20" t="s">
        <v>33</v>
      </c>
      <c r="O20" t="s">
        <v>33</v>
      </c>
      <c r="P20" s="1">
        <v>43606</v>
      </c>
      <c r="R20" t="s">
        <v>61</v>
      </c>
      <c r="U20">
        <v>3.3770219694734898E-3</v>
      </c>
      <c r="V20">
        <v>3715</v>
      </c>
      <c r="W20">
        <v>29</v>
      </c>
      <c r="X20" t="s">
        <v>62</v>
      </c>
      <c r="Y20" s="1">
        <v>43606</v>
      </c>
      <c r="Z20" t="s">
        <v>33</v>
      </c>
    </row>
    <row r="21" spans="1:31" x14ac:dyDescent="0.45">
      <c r="A21">
        <v>4639</v>
      </c>
      <c r="B21" t="s">
        <v>74</v>
      </c>
      <c r="C21" t="s">
        <v>32</v>
      </c>
      <c r="E21" t="s">
        <v>4</v>
      </c>
      <c r="G21" t="s">
        <v>34</v>
      </c>
      <c r="I21" t="s">
        <v>42</v>
      </c>
      <c r="K21">
        <v>4</v>
      </c>
      <c r="L21" s="1">
        <v>43633</v>
      </c>
      <c r="N21" t="s">
        <v>57</v>
      </c>
      <c r="O21" t="s">
        <v>58</v>
      </c>
      <c r="P21" t="s">
        <v>49</v>
      </c>
      <c r="R21" t="s">
        <v>36</v>
      </c>
      <c r="U21">
        <v>3.3770219694734898E-3</v>
      </c>
      <c r="V21">
        <v>3715</v>
      </c>
      <c r="W21">
        <v>29</v>
      </c>
    </row>
    <row r="22" spans="1:31" x14ac:dyDescent="0.45">
      <c r="A22">
        <v>5637</v>
      </c>
      <c r="B22" t="s">
        <v>75</v>
      </c>
      <c r="C22" t="s">
        <v>52</v>
      </c>
      <c r="G22" s="1">
        <v>43613</v>
      </c>
      <c r="H22" s="1">
        <v>43613</v>
      </c>
      <c r="I22" t="s">
        <v>33</v>
      </c>
      <c r="J22" t="s">
        <v>33</v>
      </c>
      <c r="K22">
        <v>4</v>
      </c>
      <c r="L22" s="1">
        <v>43632</v>
      </c>
      <c r="M22" s="1">
        <v>43632</v>
      </c>
      <c r="N22" t="s">
        <v>33</v>
      </c>
      <c r="O22" t="s">
        <v>33</v>
      </c>
      <c r="P22" s="1">
        <v>43638</v>
      </c>
      <c r="Q22" s="2">
        <v>43638</v>
      </c>
      <c r="R22" t="s">
        <v>38</v>
      </c>
      <c r="S22">
        <v>0</v>
      </c>
      <c r="U22">
        <v>7.2215578430401403E-3</v>
      </c>
      <c r="V22">
        <v>2982</v>
      </c>
      <c r="W22">
        <v>50</v>
      </c>
      <c r="X22" t="s">
        <v>62</v>
      </c>
      <c r="Y22" s="1">
        <v>43638</v>
      </c>
      <c r="Z22" t="s">
        <v>33</v>
      </c>
    </row>
    <row r="23" spans="1:31" x14ac:dyDescent="0.45">
      <c r="A23">
        <v>5640</v>
      </c>
      <c r="B23" t="s">
        <v>76</v>
      </c>
      <c r="C23" t="s">
        <v>52</v>
      </c>
      <c r="E23" t="s">
        <v>4</v>
      </c>
      <c r="G23" s="1">
        <v>43616</v>
      </c>
      <c r="H23" s="1">
        <v>43616</v>
      </c>
      <c r="I23" t="s">
        <v>33</v>
      </c>
      <c r="J23" t="s">
        <v>33</v>
      </c>
      <c r="K23">
        <v>4</v>
      </c>
      <c r="L23" s="1">
        <v>43625</v>
      </c>
      <c r="N23" t="s">
        <v>57</v>
      </c>
      <c r="O23" t="s">
        <v>58</v>
      </c>
      <c r="P23" s="1">
        <v>43637</v>
      </c>
      <c r="Q23" s="2">
        <v>43628</v>
      </c>
      <c r="R23" t="s">
        <v>38</v>
      </c>
      <c r="S23">
        <v>-9</v>
      </c>
      <c r="U23">
        <v>1.92877214982453E-3</v>
      </c>
      <c r="V23">
        <v>2696</v>
      </c>
      <c r="W23">
        <v>12</v>
      </c>
      <c r="X23" t="s">
        <v>62</v>
      </c>
      <c r="Y23" s="1">
        <v>43637</v>
      </c>
      <c r="Z23" t="s">
        <v>33</v>
      </c>
    </row>
    <row r="24" spans="1:31" hidden="1" x14ac:dyDescent="0.45">
      <c r="A24">
        <v>5638</v>
      </c>
      <c r="B24" t="s">
        <v>77</v>
      </c>
      <c r="C24" t="s">
        <v>46</v>
      </c>
      <c r="E24" t="s">
        <v>4</v>
      </c>
      <c r="G24" s="1">
        <v>43602</v>
      </c>
      <c r="I24" t="s">
        <v>57</v>
      </c>
      <c r="J24" t="s">
        <v>58</v>
      </c>
      <c r="K24">
        <v>4</v>
      </c>
      <c r="L24" t="s">
        <v>34</v>
      </c>
      <c r="N24" t="s">
        <v>35</v>
      </c>
      <c r="P24" t="s">
        <v>34</v>
      </c>
      <c r="R24" t="s">
        <v>36</v>
      </c>
    </row>
    <row r="25" spans="1:31" x14ac:dyDescent="0.45">
      <c r="A25">
        <v>7657</v>
      </c>
      <c r="B25" t="s">
        <v>78</v>
      </c>
      <c r="C25" t="s">
        <v>44</v>
      </c>
      <c r="G25" s="1">
        <v>43988</v>
      </c>
      <c r="H25" s="1">
        <v>43988</v>
      </c>
      <c r="I25" t="s">
        <v>33</v>
      </c>
      <c r="J25" t="s">
        <v>33</v>
      </c>
      <c r="K25">
        <v>2</v>
      </c>
      <c r="L25" s="1">
        <v>44000</v>
      </c>
      <c r="M25" s="1">
        <v>44000</v>
      </c>
      <c r="N25" t="s">
        <v>33</v>
      </c>
      <c r="O25" t="s">
        <v>33</v>
      </c>
      <c r="P25" t="s">
        <v>49</v>
      </c>
      <c r="R25" t="s">
        <v>36</v>
      </c>
      <c r="U25" s="3" t="s">
        <v>79</v>
      </c>
      <c r="V25">
        <v>805</v>
      </c>
      <c r="W25">
        <v>214</v>
      </c>
    </row>
    <row r="26" spans="1:31" hidden="1" x14ac:dyDescent="0.45">
      <c r="A26">
        <v>2908</v>
      </c>
      <c r="B26" t="s">
        <v>80</v>
      </c>
      <c r="C26" t="s">
        <v>41</v>
      </c>
      <c r="G26" t="s">
        <v>34</v>
      </c>
      <c r="I26" t="s">
        <v>42</v>
      </c>
      <c r="K26">
        <v>2</v>
      </c>
      <c r="L26" t="s">
        <v>34</v>
      </c>
      <c r="N26" t="s">
        <v>35</v>
      </c>
      <c r="P26" t="s">
        <v>34</v>
      </c>
      <c r="R26" t="s">
        <v>36</v>
      </c>
    </row>
    <row r="27" spans="1:31" x14ac:dyDescent="0.45">
      <c r="A27">
        <v>57589</v>
      </c>
      <c r="B27" t="s">
        <v>81</v>
      </c>
      <c r="C27" t="s">
        <v>52</v>
      </c>
      <c r="G27" s="1">
        <v>43945</v>
      </c>
      <c r="H27" s="1">
        <v>43945</v>
      </c>
      <c r="I27" t="s">
        <v>33</v>
      </c>
      <c r="J27" t="s">
        <v>33</v>
      </c>
      <c r="K27">
        <v>2</v>
      </c>
      <c r="L27" s="1">
        <v>43960</v>
      </c>
      <c r="M27" s="1">
        <v>43960</v>
      </c>
      <c r="N27" t="s">
        <v>33</v>
      </c>
      <c r="O27" t="s">
        <v>33</v>
      </c>
      <c r="P27" s="1">
        <v>43983</v>
      </c>
      <c r="Q27" s="2">
        <v>43983</v>
      </c>
      <c r="R27" t="s">
        <v>38</v>
      </c>
      <c r="S27">
        <v>0</v>
      </c>
      <c r="U27">
        <v>1.8337507724453601E-2</v>
      </c>
      <c r="V27">
        <v>2481</v>
      </c>
      <c r="W27">
        <v>107</v>
      </c>
    </row>
    <row r="28" spans="1:31" x14ac:dyDescent="0.45">
      <c r="A28">
        <v>6199</v>
      </c>
      <c r="B28" t="s">
        <v>82</v>
      </c>
      <c r="C28" t="s">
        <v>44</v>
      </c>
      <c r="G28" s="1">
        <v>43951</v>
      </c>
      <c r="H28" s="1">
        <v>43948</v>
      </c>
      <c r="I28" t="s">
        <v>57</v>
      </c>
      <c r="J28">
        <v>3</v>
      </c>
      <c r="K28">
        <v>2</v>
      </c>
      <c r="L28" s="1">
        <v>43962</v>
      </c>
      <c r="M28" s="1">
        <v>43962</v>
      </c>
      <c r="N28" t="s">
        <v>33</v>
      </c>
      <c r="O28" t="s">
        <v>33</v>
      </c>
      <c r="P28" t="s">
        <v>49</v>
      </c>
      <c r="R28" t="s">
        <v>36</v>
      </c>
      <c r="U28">
        <v>9.3990702339045995E-2</v>
      </c>
      <c r="V28">
        <v>2239</v>
      </c>
      <c r="W28">
        <v>541</v>
      </c>
    </row>
    <row r="29" spans="1:31" x14ac:dyDescent="0.45">
      <c r="A29">
        <v>6199</v>
      </c>
      <c r="B29" t="s">
        <v>83</v>
      </c>
      <c r="C29" t="s">
        <v>44</v>
      </c>
      <c r="G29" t="s">
        <v>34</v>
      </c>
      <c r="I29" t="s">
        <v>42</v>
      </c>
      <c r="K29">
        <v>2</v>
      </c>
      <c r="L29" t="s">
        <v>34</v>
      </c>
      <c r="N29" t="s">
        <v>35</v>
      </c>
      <c r="P29" t="s">
        <v>34</v>
      </c>
      <c r="R29" t="s">
        <v>36</v>
      </c>
      <c r="U29">
        <v>9.3990702339045995E-2</v>
      </c>
      <c r="V29">
        <v>2239</v>
      </c>
      <c r="W29">
        <v>541</v>
      </c>
    </row>
    <row r="30" spans="1:31" hidden="1" x14ac:dyDescent="0.45">
      <c r="A30">
        <v>7650</v>
      </c>
      <c r="B30" t="s">
        <v>84</v>
      </c>
      <c r="C30" t="s">
        <v>41</v>
      </c>
      <c r="G30" t="s">
        <v>34</v>
      </c>
      <c r="I30" t="s">
        <v>42</v>
      </c>
      <c r="K30">
        <v>2</v>
      </c>
      <c r="L30" t="s">
        <v>34</v>
      </c>
      <c r="N30" t="s">
        <v>35</v>
      </c>
      <c r="P30" t="s">
        <v>34</v>
      </c>
      <c r="R30" t="s">
        <v>36</v>
      </c>
    </row>
    <row r="31" spans="1:31" x14ac:dyDescent="0.45">
      <c r="A31">
        <v>6404</v>
      </c>
      <c r="B31" t="s">
        <v>85</v>
      </c>
      <c r="C31" t="s">
        <v>52</v>
      </c>
      <c r="E31" t="s">
        <v>4</v>
      </c>
      <c r="G31" s="1">
        <v>43970</v>
      </c>
      <c r="H31" s="1">
        <v>43970</v>
      </c>
      <c r="I31" t="s">
        <v>33</v>
      </c>
      <c r="J31" t="s">
        <v>33</v>
      </c>
      <c r="K31">
        <v>2</v>
      </c>
      <c r="L31" s="1">
        <v>43981</v>
      </c>
      <c r="M31" s="1">
        <v>43981</v>
      </c>
      <c r="N31" t="s">
        <v>33</v>
      </c>
      <c r="O31" t="s">
        <v>33</v>
      </c>
      <c r="P31" s="1">
        <v>43998</v>
      </c>
      <c r="Q31" s="2">
        <v>43990</v>
      </c>
      <c r="R31" t="s">
        <v>38</v>
      </c>
      <c r="S31">
        <v>-8</v>
      </c>
      <c r="U31" s="3" t="s">
        <v>86</v>
      </c>
      <c r="V31">
        <v>627</v>
      </c>
      <c r="W31">
        <v>18</v>
      </c>
    </row>
    <row r="32" spans="1:31" hidden="1" x14ac:dyDescent="0.45">
      <c r="A32">
        <v>2915</v>
      </c>
      <c r="B32" t="s">
        <v>87</v>
      </c>
      <c r="C32" t="s">
        <v>41</v>
      </c>
      <c r="G32" t="s">
        <v>34</v>
      </c>
      <c r="I32" t="s">
        <v>42</v>
      </c>
      <c r="K32">
        <v>2</v>
      </c>
      <c r="L32" t="s">
        <v>34</v>
      </c>
      <c r="N32" t="s">
        <v>35</v>
      </c>
      <c r="P32" t="s">
        <v>34</v>
      </c>
      <c r="R32" t="s">
        <v>36</v>
      </c>
    </row>
    <row r="33" spans="1:26" x14ac:dyDescent="0.45">
      <c r="A33">
        <v>18572</v>
      </c>
      <c r="B33" t="s">
        <v>88</v>
      </c>
      <c r="C33" t="s">
        <v>52</v>
      </c>
      <c r="E33" t="s">
        <v>4</v>
      </c>
      <c r="G33" s="1">
        <v>43955</v>
      </c>
      <c r="H33" s="1">
        <v>43955</v>
      </c>
      <c r="I33" t="s">
        <v>33</v>
      </c>
      <c r="J33" t="s">
        <v>33</v>
      </c>
      <c r="K33">
        <v>2</v>
      </c>
      <c r="L33" s="1">
        <v>43963</v>
      </c>
      <c r="M33" s="1">
        <v>43963</v>
      </c>
      <c r="N33" t="s">
        <v>33</v>
      </c>
      <c r="O33" t="s">
        <v>33</v>
      </c>
      <c r="P33" s="1">
        <v>44001</v>
      </c>
      <c r="R33" t="s">
        <v>71</v>
      </c>
      <c r="U33" s="3" t="s">
        <v>89</v>
      </c>
      <c r="V33">
        <v>2539</v>
      </c>
      <c r="W33">
        <v>146</v>
      </c>
    </row>
    <row r="34" spans="1:26" x14ac:dyDescent="0.45">
      <c r="A34">
        <v>24130</v>
      </c>
      <c r="B34" t="s">
        <v>90</v>
      </c>
      <c r="C34" t="s">
        <v>52</v>
      </c>
      <c r="E34" t="s">
        <v>4</v>
      </c>
      <c r="G34" s="1">
        <v>44353</v>
      </c>
      <c r="I34" t="s">
        <v>57</v>
      </c>
      <c r="J34" t="s">
        <v>58</v>
      </c>
      <c r="K34">
        <v>8</v>
      </c>
      <c r="L34" s="1">
        <v>44362</v>
      </c>
      <c r="N34" t="s">
        <v>57</v>
      </c>
      <c r="O34" t="s">
        <v>58</v>
      </c>
      <c r="P34" s="1">
        <v>44364</v>
      </c>
      <c r="R34" t="s">
        <v>61</v>
      </c>
      <c r="U34">
        <v>3.2199923736962299E-3</v>
      </c>
      <c r="V34">
        <v>1075</v>
      </c>
      <c r="W34">
        <v>8</v>
      </c>
      <c r="X34" t="s">
        <v>62</v>
      </c>
      <c r="Y34" s="1">
        <v>44364</v>
      </c>
      <c r="Z34" t="s">
        <v>33</v>
      </c>
    </row>
    <row r="35" spans="1:26" hidden="1" x14ac:dyDescent="0.45">
      <c r="A35">
        <v>24221</v>
      </c>
      <c r="B35" t="s">
        <v>91</v>
      </c>
      <c r="C35" t="s">
        <v>46</v>
      </c>
      <c r="G35" s="1">
        <v>44363</v>
      </c>
      <c r="I35" t="s">
        <v>57</v>
      </c>
      <c r="J35" t="s">
        <v>58</v>
      </c>
      <c r="K35">
        <v>8</v>
      </c>
      <c r="L35" t="s">
        <v>49</v>
      </c>
      <c r="N35" t="s">
        <v>35</v>
      </c>
      <c r="P35" t="s">
        <v>49</v>
      </c>
      <c r="R35" t="s">
        <v>36</v>
      </c>
    </row>
    <row r="36" spans="1:26" x14ac:dyDescent="0.45">
      <c r="A36">
        <v>21652</v>
      </c>
      <c r="B36" t="s">
        <v>92</v>
      </c>
      <c r="C36" t="s">
        <v>52</v>
      </c>
      <c r="F36" t="s">
        <v>93</v>
      </c>
      <c r="G36" s="1">
        <v>44357</v>
      </c>
      <c r="H36" s="1">
        <v>44357</v>
      </c>
      <c r="I36" t="s">
        <v>33</v>
      </c>
      <c r="J36" t="s">
        <v>33</v>
      </c>
      <c r="K36">
        <v>4</v>
      </c>
      <c r="L36" s="1">
        <v>44367</v>
      </c>
      <c r="M36" s="1">
        <v>44367</v>
      </c>
      <c r="N36" t="s">
        <v>33</v>
      </c>
      <c r="O36" t="s">
        <v>33</v>
      </c>
      <c r="P36" t="s">
        <v>49</v>
      </c>
      <c r="R36" t="s">
        <v>36</v>
      </c>
      <c r="U36">
        <v>8.27982346800199E-2</v>
      </c>
      <c r="V36">
        <v>1395</v>
      </c>
      <c r="W36">
        <v>293</v>
      </c>
    </row>
    <row r="37" spans="1:26" x14ac:dyDescent="0.45">
      <c r="A37">
        <v>24652</v>
      </c>
      <c r="B37" t="s">
        <v>94</v>
      </c>
      <c r="C37" t="s">
        <v>52</v>
      </c>
      <c r="G37" s="1">
        <v>44356</v>
      </c>
      <c r="H37" s="1">
        <v>44356</v>
      </c>
      <c r="I37" t="s">
        <v>33</v>
      </c>
      <c r="J37" t="s">
        <v>33</v>
      </c>
      <c r="K37">
        <v>4</v>
      </c>
      <c r="L37" s="1">
        <v>44370</v>
      </c>
      <c r="M37" s="1">
        <v>44370</v>
      </c>
      <c r="N37" t="s">
        <v>33</v>
      </c>
      <c r="O37" t="s">
        <v>33</v>
      </c>
      <c r="P37" s="1">
        <v>44380</v>
      </c>
      <c r="R37" t="s">
        <v>69</v>
      </c>
      <c r="U37">
        <v>9.0007655125413005E-2</v>
      </c>
      <c r="V37">
        <v>964</v>
      </c>
      <c r="W37">
        <v>222</v>
      </c>
    </row>
    <row r="38" spans="1:26" x14ac:dyDescent="0.45">
      <c r="A38">
        <v>21591</v>
      </c>
      <c r="B38" t="s">
        <v>95</v>
      </c>
      <c r="C38" t="s">
        <v>52</v>
      </c>
      <c r="F38" t="s">
        <v>93</v>
      </c>
      <c r="G38" s="1">
        <v>44349</v>
      </c>
      <c r="H38" s="1">
        <v>44349</v>
      </c>
      <c r="I38" t="s">
        <v>33</v>
      </c>
      <c r="J38" t="s">
        <v>33</v>
      </c>
      <c r="K38">
        <v>4</v>
      </c>
      <c r="L38" s="1">
        <v>44360</v>
      </c>
      <c r="M38" s="1">
        <v>44360</v>
      </c>
      <c r="N38" t="s">
        <v>33</v>
      </c>
      <c r="O38" t="s">
        <v>33</v>
      </c>
      <c r="P38" t="s">
        <v>49</v>
      </c>
      <c r="R38" t="s">
        <v>36</v>
      </c>
      <c r="U38" s="3" t="s">
        <v>96</v>
      </c>
      <c r="V38">
        <v>1112</v>
      </c>
      <c r="W38">
        <v>42</v>
      </c>
    </row>
    <row r="39" spans="1:26" hidden="1" x14ac:dyDescent="0.45">
      <c r="A39">
        <v>24122</v>
      </c>
      <c r="B39" t="s">
        <v>97</v>
      </c>
      <c r="C39" t="s">
        <v>41</v>
      </c>
      <c r="G39" t="s">
        <v>34</v>
      </c>
      <c r="I39" t="s">
        <v>42</v>
      </c>
      <c r="K39">
        <v>4</v>
      </c>
      <c r="L39" t="s">
        <v>34</v>
      </c>
      <c r="N39" t="s">
        <v>35</v>
      </c>
      <c r="P39" t="s">
        <v>34</v>
      </c>
      <c r="R39" t="s">
        <v>36</v>
      </c>
    </row>
    <row r="40" spans="1:26" hidden="1" x14ac:dyDescent="0.45">
      <c r="A40">
        <v>21681</v>
      </c>
      <c r="B40" t="s">
        <v>98</v>
      </c>
      <c r="C40" t="s">
        <v>41</v>
      </c>
      <c r="G40" t="s">
        <v>34</v>
      </c>
      <c r="I40" t="s">
        <v>42</v>
      </c>
      <c r="K40">
        <v>4</v>
      </c>
      <c r="L40" t="s">
        <v>34</v>
      </c>
      <c r="N40" t="s">
        <v>35</v>
      </c>
      <c r="P40" t="s">
        <v>34</v>
      </c>
      <c r="R40" t="s">
        <v>36</v>
      </c>
    </row>
    <row r="41" spans="1:26" hidden="1" x14ac:dyDescent="0.45">
      <c r="A41">
        <v>24651</v>
      </c>
      <c r="B41" t="s">
        <v>99</v>
      </c>
      <c r="C41" t="s">
        <v>46</v>
      </c>
      <c r="F41" t="s">
        <v>100</v>
      </c>
      <c r="G41" t="s">
        <v>34</v>
      </c>
      <c r="I41" t="s">
        <v>42</v>
      </c>
      <c r="K41">
        <v>4</v>
      </c>
      <c r="L41" t="s">
        <v>101</v>
      </c>
      <c r="N41" t="s">
        <v>35</v>
      </c>
      <c r="P41" t="s">
        <v>101</v>
      </c>
      <c r="R41" t="s">
        <v>36</v>
      </c>
    </row>
    <row r="42" spans="1:26" hidden="1" x14ac:dyDescent="0.45">
      <c r="A42">
        <v>24653</v>
      </c>
      <c r="B42" t="s">
        <v>102</v>
      </c>
      <c r="C42" t="s">
        <v>46</v>
      </c>
      <c r="G42" s="1">
        <v>44334</v>
      </c>
      <c r="H42" s="1">
        <v>44334</v>
      </c>
      <c r="I42" t="s">
        <v>33</v>
      </c>
      <c r="J42" t="s">
        <v>33</v>
      </c>
      <c r="K42">
        <v>4</v>
      </c>
      <c r="L42" t="s">
        <v>49</v>
      </c>
      <c r="N42" t="s">
        <v>35</v>
      </c>
      <c r="P42" t="s">
        <v>49</v>
      </c>
      <c r="R42" t="s">
        <v>36</v>
      </c>
    </row>
    <row r="43" spans="1:26" x14ac:dyDescent="0.45">
      <c r="A43">
        <v>21668</v>
      </c>
      <c r="B43" t="s">
        <v>103</v>
      </c>
      <c r="C43" t="s">
        <v>32</v>
      </c>
      <c r="G43" s="1">
        <v>44328</v>
      </c>
      <c r="H43" s="1">
        <v>44328</v>
      </c>
      <c r="I43" t="s">
        <v>33</v>
      </c>
      <c r="J43" t="s">
        <v>33</v>
      </c>
      <c r="K43">
        <v>4</v>
      </c>
      <c r="L43" s="1">
        <v>44340</v>
      </c>
      <c r="M43" s="1">
        <v>44340</v>
      </c>
      <c r="N43" t="s">
        <v>33</v>
      </c>
      <c r="O43" t="s">
        <v>33</v>
      </c>
      <c r="P43" t="s">
        <v>49</v>
      </c>
      <c r="R43" t="s">
        <v>36</v>
      </c>
      <c r="U43">
        <v>7.3317972086553607E-2</v>
      </c>
      <c r="V43">
        <v>1914</v>
      </c>
      <c r="W43">
        <v>352</v>
      </c>
    </row>
    <row r="44" spans="1:26" x14ac:dyDescent="0.45">
      <c r="A44">
        <v>21668</v>
      </c>
      <c r="B44" t="s">
        <v>104</v>
      </c>
      <c r="C44" t="s">
        <v>32</v>
      </c>
      <c r="G44" s="1">
        <v>44359</v>
      </c>
      <c r="H44" s="1">
        <v>44359</v>
      </c>
      <c r="I44" t="s">
        <v>33</v>
      </c>
      <c r="J44" t="s">
        <v>33</v>
      </c>
      <c r="K44">
        <v>4</v>
      </c>
      <c r="L44" t="s">
        <v>49</v>
      </c>
      <c r="N44" t="s">
        <v>35</v>
      </c>
      <c r="P44" t="s">
        <v>49</v>
      </c>
      <c r="R44" t="s">
        <v>36</v>
      </c>
      <c r="U44">
        <v>7.3317972086553607E-2</v>
      </c>
      <c r="V44">
        <v>1914</v>
      </c>
      <c r="W44">
        <v>352</v>
      </c>
    </row>
    <row r="45" spans="1:26" x14ac:dyDescent="0.45">
      <c r="A45">
        <v>21688</v>
      </c>
      <c r="B45" t="s">
        <v>105</v>
      </c>
      <c r="C45" t="s">
        <v>52</v>
      </c>
      <c r="G45" s="1">
        <v>44329</v>
      </c>
      <c r="H45" s="1">
        <v>44329</v>
      </c>
      <c r="I45" t="s">
        <v>33</v>
      </c>
      <c r="J45" t="s">
        <v>33</v>
      </c>
      <c r="K45">
        <v>4</v>
      </c>
      <c r="L45" s="1">
        <v>44344</v>
      </c>
      <c r="M45" s="1">
        <v>44344</v>
      </c>
      <c r="N45" t="s">
        <v>33</v>
      </c>
      <c r="O45" t="s">
        <v>33</v>
      </c>
      <c r="P45" s="1">
        <v>44351</v>
      </c>
      <c r="Q45" s="2">
        <v>44351</v>
      </c>
      <c r="R45" t="s">
        <v>38</v>
      </c>
      <c r="S45">
        <v>0</v>
      </c>
      <c r="U45" s="3" t="s">
        <v>106</v>
      </c>
      <c r="V45">
        <v>1261</v>
      </c>
      <c r="W45">
        <v>170</v>
      </c>
    </row>
    <row r="46" spans="1:26" x14ac:dyDescent="0.45">
      <c r="A46">
        <v>11101</v>
      </c>
      <c r="B46" t="s">
        <v>107</v>
      </c>
      <c r="C46" t="s">
        <v>46</v>
      </c>
      <c r="G46" s="1">
        <v>44310</v>
      </c>
      <c r="H46" s="1">
        <v>44310</v>
      </c>
      <c r="I46" t="s">
        <v>33</v>
      </c>
      <c r="J46" t="s">
        <v>33</v>
      </c>
      <c r="K46">
        <v>4</v>
      </c>
      <c r="L46" t="s">
        <v>49</v>
      </c>
      <c r="N46" t="s">
        <v>35</v>
      </c>
      <c r="P46" t="s">
        <v>49</v>
      </c>
      <c r="R46" t="s">
        <v>36</v>
      </c>
      <c r="U46">
        <v>6.4341100054098998E-3</v>
      </c>
      <c r="V46">
        <v>67</v>
      </c>
      <c r="W46">
        <v>1</v>
      </c>
    </row>
    <row r="47" spans="1:26" hidden="1" x14ac:dyDescent="0.45">
      <c r="A47">
        <v>24658</v>
      </c>
      <c r="B47" t="s">
        <v>108</v>
      </c>
      <c r="C47" t="s">
        <v>41</v>
      </c>
      <c r="G47" t="s">
        <v>34</v>
      </c>
      <c r="I47" t="s">
        <v>42</v>
      </c>
      <c r="K47">
        <v>4</v>
      </c>
      <c r="L47" t="s">
        <v>34</v>
      </c>
      <c r="N47" t="s">
        <v>35</v>
      </c>
      <c r="P47" t="s">
        <v>34</v>
      </c>
      <c r="R47" t="s">
        <v>36</v>
      </c>
    </row>
    <row r="48" spans="1:26" hidden="1" x14ac:dyDescent="0.45">
      <c r="A48">
        <v>24606</v>
      </c>
      <c r="B48" t="s">
        <v>109</v>
      </c>
      <c r="C48" t="s">
        <v>52</v>
      </c>
      <c r="E48" t="s">
        <v>4</v>
      </c>
      <c r="G48" s="1">
        <v>44348</v>
      </c>
      <c r="H48" s="1">
        <v>44348</v>
      </c>
      <c r="I48" t="s">
        <v>33</v>
      </c>
      <c r="J48" t="s">
        <v>33</v>
      </c>
      <c r="K48">
        <v>4</v>
      </c>
      <c r="L48" t="s">
        <v>34</v>
      </c>
      <c r="N48" t="s">
        <v>35</v>
      </c>
      <c r="P48" s="1">
        <v>44371</v>
      </c>
      <c r="R48" t="s">
        <v>110</v>
      </c>
    </row>
    <row r="49" spans="1:31" hidden="1" x14ac:dyDescent="0.45">
      <c r="A49">
        <v>24544</v>
      </c>
      <c r="B49" t="s">
        <v>111</v>
      </c>
      <c r="C49" t="s">
        <v>41</v>
      </c>
      <c r="G49" t="s">
        <v>34</v>
      </c>
      <c r="I49" t="s">
        <v>42</v>
      </c>
      <c r="K49">
        <v>4</v>
      </c>
      <c r="L49" t="s">
        <v>34</v>
      </c>
      <c r="N49" t="s">
        <v>35</v>
      </c>
      <c r="P49" t="s">
        <v>34</v>
      </c>
      <c r="R49" t="s">
        <v>36</v>
      </c>
    </row>
    <row r="50" spans="1:31" hidden="1" x14ac:dyDescent="0.45">
      <c r="A50">
        <v>24641</v>
      </c>
      <c r="B50" t="s">
        <v>112</v>
      </c>
      <c r="C50" t="s">
        <v>41</v>
      </c>
      <c r="G50" t="s">
        <v>34</v>
      </c>
      <c r="I50" t="s">
        <v>42</v>
      </c>
      <c r="K50">
        <v>4</v>
      </c>
      <c r="L50" t="s">
        <v>34</v>
      </c>
      <c r="N50" t="s">
        <v>35</v>
      </c>
      <c r="P50" t="s">
        <v>34</v>
      </c>
      <c r="R50" t="s">
        <v>36</v>
      </c>
    </row>
    <row r="51" spans="1:31" x14ac:dyDescent="0.45">
      <c r="A51">
        <v>24655</v>
      </c>
      <c r="B51" t="s">
        <v>113</v>
      </c>
      <c r="C51" t="s">
        <v>52</v>
      </c>
      <c r="E51" t="s">
        <v>4</v>
      </c>
      <c r="G51" s="1">
        <v>44340</v>
      </c>
      <c r="H51" s="1">
        <v>44340</v>
      </c>
      <c r="I51" t="s">
        <v>33</v>
      </c>
      <c r="J51" t="s">
        <v>33</v>
      </c>
      <c r="K51">
        <v>4</v>
      </c>
      <c r="L51" s="1">
        <v>44347</v>
      </c>
      <c r="M51" s="1">
        <v>44352</v>
      </c>
      <c r="N51" t="s">
        <v>57</v>
      </c>
      <c r="O51">
        <v>-5</v>
      </c>
      <c r="P51" s="1">
        <v>44359</v>
      </c>
      <c r="Q51" s="2">
        <v>44356</v>
      </c>
      <c r="R51" t="s">
        <v>38</v>
      </c>
      <c r="S51">
        <v>-3</v>
      </c>
      <c r="U51">
        <v>1.25156997830716E-3</v>
      </c>
      <c r="V51">
        <v>4851</v>
      </c>
      <c r="W51">
        <v>14</v>
      </c>
      <c r="X51" t="s">
        <v>62</v>
      </c>
      <c r="Y51" s="1">
        <v>44359</v>
      </c>
      <c r="Z51" t="s">
        <v>33</v>
      </c>
    </row>
    <row r="52" spans="1:31" x14ac:dyDescent="0.45">
      <c r="A52">
        <v>26534</v>
      </c>
      <c r="B52" t="s">
        <v>114</v>
      </c>
      <c r="C52" t="s">
        <v>115</v>
      </c>
      <c r="D52" t="s">
        <v>116</v>
      </c>
      <c r="G52" s="1">
        <v>44315</v>
      </c>
      <c r="H52" s="1">
        <v>44315</v>
      </c>
      <c r="I52" t="s">
        <v>33</v>
      </c>
      <c r="J52" t="s">
        <v>33</v>
      </c>
      <c r="K52">
        <v>4</v>
      </c>
      <c r="L52" s="1">
        <v>44334</v>
      </c>
      <c r="M52" s="1">
        <v>44334</v>
      </c>
      <c r="N52" t="s">
        <v>33</v>
      </c>
      <c r="O52" t="s">
        <v>33</v>
      </c>
      <c r="P52" s="1">
        <v>44349</v>
      </c>
      <c r="Q52" s="2">
        <v>44365</v>
      </c>
      <c r="R52" t="s">
        <v>38</v>
      </c>
      <c r="S52">
        <v>16</v>
      </c>
      <c r="U52">
        <v>3.3411643133700299E-2</v>
      </c>
      <c r="V52">
        <v>6640</v>
      </c>
      <c r="W52">
        <v>531</v>
      </c>
      <c r="X52" t="s">
        <v>72</v>
      </c>
      <c r="AA52" s="1">
        <v>44365</v>
      </c>
      <c r="AB52" t="s">
        <v>38</v>
      </c>
      <c r="AC52">
        <v>16</v>
      </c>
      <c r="AD52" s="1">
        <v>44352</v>
      </c>
      <c r="AE52">
        <v>-3</v>
      </c>
    </row>
    <row r="53" spans="1:31" x14ac:dyDescent="0.45">
      <c r="A53">
        <v>26534</v>
      </c>
      <c r="B53" t="s">
        <v>117</v>
      </c>
      <c r="C53" t="s">
        <v>115</v>
      </c>
      <c r="D53" t="s">
        <v>116</v>
      </c>
      <c r="G53" s="1">
        <v>44339</v>
      </c>
      <c r="I53" t="s">
        <v>57</v>
      </c>
      <c r="J53" t="s">
        <v>58</v>
      </c>
      <c r="K53">
        <v>4</v>
      </c>
      <c r="L53" s="1">
        <v>44356</v>
      </c>
      <c r="M53" s="1">
        <v>44356</v>
      </c>
      <c r="N53" t="s">
        <v>33</v>
      </c>
      <c r="O53" t="s">
        <v>33</v>
      </c>
      <c r="P53" s="1">
        <v>44364</v>
      </c>
      <c r="Q53" s="2">
        <v>44365</v>
      </c>
      <c r="R53" t="s">
        <v>38</v>
      </c>
      <c r="S53">
        <v>1</v>
      </c>
      <c r="U53">
        <v>3.3411643133700299E-2</v>
      </c>
      <c r="V53">
        <v>6640</v>
      </c>
      <c r="W53">
        <v>531</v>
      </c>
      <c r="X53" t="s">
        <v>72</v>
      </c>
      <c r="AA53" s="1">
        <v>44365</v>
      </c>
      <c r="AB53" t="s">
        <v>38</v>
      </c>
      <c r="AC53">
        <v>1</v>
      </c>
      <c r="AD53" s="1">
        <v>44365</v>
      </c>
      <c r="AE53">
        <v>-1</v>
      </c>
    </row>
    <row r="54" spans="1:31" hidden="1" x14ac:dyDescent="0.45">
      <c r="A54">
        <v>26535</v>
      </c>
      <c r="B54" t="s">
        <v>118</v>
      </c>
      <c r="C54" t="s">
        <v>119</v>
      </c>
      <c r="G54" t="s">
        <v>34</v>
      </c>
      <c r="I54" t="s">
        <v>42</v>
      </c>
      <c r="K54">
        <v>4</v>
      </c>
      <c r="L54" t="s">
        <v>34</v>
      </c>
      <c r="N54" t="s">
        <v>35</v>
      </c>
      <c r="P54" t="s">
        <v>34</v>
      </c>
      <c r="R54" t="s">
        <v>36</v>
      </c>
    </row>
    <row r="55" spans="1:31" hidden="1" x14ac:dyDescent="0.45">
      <c r="A55">
        <v>26536</v>
      </c>
      <c r="B55" t="s">
        <v>120</v>
      </c>
      <c r="C55" t="s">
        <v>46</v>
      </c>
      <c r="G55" s="1">
        <v>44347</v>
      </c>
      <c r="H55" s="1">
        <v>44347</v>
      </c>
      <c r="I55" t="s">
        <v>33</v>
      </c>
      <c r="J55" t="s">
        <v>33</v>
      </c>
      <c r="K55">
        <v>4</v>
      </c>
      <c r="L55" t="s">
        <v>34</v>
      </c>
      <c r="N55" t="s">
        <v>35</v>
      </c>
      <c r="P55" t="s">
        <v>34</v>
      </c>
      <c r="R55" t="s">
        <v>36</v>
      </c>
    </row>
    <row r="56" spans="1:31" hidden="1" x14ac:dyDescent="0.45">
      <c r="A56">
        <v>26432</v>
      </c>
      <c r="B56" t="s">
        <v>121</v>
      </c>
      <c r="C56" t="s">
        <v>119</v>
      </c>
      <c r="G56" t="s">
        <v>34</v>
      </c>
      <c r="I56" t="s">
        <v>42</v>
      </c>
      <c r="K56">
        <v>4</v>
      </c>
      <c r="L56" t="s">
        <v>34</v>
      </c>
      <c r="N56" t="s">
        <v>35</v>
      </c>
      <c r="P56" t="s">
        <v>34</v>
      </c>
      <c r="R56" t="s">
        <v>36</v>
      </c>
    </row>
    <row r="57" spans="1:31" x14ac:dyDescent="0.45">
      <c r="A57">
        <v>24252</v>
      </c>
      <c r="B57" t="s">
        <v>122</v>
      </c>
      <c r="C57" t="s">
        <v>123</v>
      </c>
      <c r="G57" s="1">
        <v>44314</v>
      </c>
      <c r="H57" s="1">
        <v>44314</v>
      </c>
      <c r="I57" t="s">
        <v>33</v>
      </c>
      <c r="J57" t="s">
        <v>33</v>
      </c>
      <c r="K57">
        <v>4</v>
      </c>
      <c r="L57" s="1">
        <v>44331</v>
      </c>
      <c r="M57" s="1">
        <v>44331</v>
      </c>
      <c r="N57" t="s">
        <v>33</v>
      </c>
      <c r="O57" t="s">
        <v>33</v>
      </c>
      <c r="P57" t="s">
        <v>34</v>
      </c>
      <c r="R57" t="s">
        <v>36</v>
      </c>
      <c r="U57">
        <v>4.8873581187046801E-2</v>
      </c>
      <c r="V57">
        <v>3694</v>
      </c>
      <c r="W57">
        <v>440</v>
      </c>
    </row>
    <row r="58" spans="1:31" x14ac:dyDescent="0.45">
      <c r="A58">
        <v>24252</v>
      </c>
      <c r="B58" t="s">
        <v>124</v>
      </c>
      <c r="C58" t="s">
        <v>123</v>
      </c>
      <c r="G58" s="1">
        <v>44341</v>
      </c>
      <c r="H58" s="1">
        <v>44341</v>
      </c>
      <c r="I58" t="s">
        <v>33</v>
      </c>
      <c r="J58" t="s">
        <v>33</v>
      </c>
      <c r="K58">
        <v>4</v>
      </c>
      <c r="L58" s="1">
        <v>44350</v>
      </c>
      <c r="M58" s="1">
        <v>44345</v>
      </c>
      <c r="N58" t="s">
        <v>57</v>
      </c>
      <c r="O58">
        <v>5</v>
      </c>
      <c r="P58" s="1">
        <v>44366</v>
      </c>
      <c r="Q58" s="2">
        <v>44366</v>
      </c>
      <c r="R58" t="s">
        <v>38</v>
      </c>
      <c r="S58">
        <v>0</v>
      </c>
      <c r="U58">
        <v>4.8873581187046801E-2</v>
      </c>
      <c r="V58">
        <v>3694</v>
      </c>
      <c r="W58">
        <v>440</v>
      </c>
    </row>
    <row r="59" spans="1:31" x14ac:dyDescent="0.45">
      <c r="A59">
        <v>24233</v>
      </c>
      <c r="B59" t="s">
        <v>125</v>
      </c>
      <c r="C59" t="s">
        <v>52</v>
      </c>
      <c r="E59" t="s">
        <v>4</v>
      </c>
      <c r="F59" t="s">
        <v>126</v>
      </c>
      <c r="G59" s="1">
        <v>44318</v>
      </c>
      <c r="H59" s="1">
        <v>44318</v>
      </c>
      <c r="I59" t="s">
        <v>33</v>
      </c>
      <c r="J59" t="s">
        <v>33</v>
      </c>
      <c r="K59">
        <v>4</v>
      </c>
      <c r="L59" s="1">
        <v>44339</v>
      </c>
      <c r="N59" t="s">
        <v>57</v>
      </c>
      <c r="O59" t="s">
        <v>58</v>
      </c>
      <c r="P59" s="1">
        <v>44341</v>
      </c>
      <c r="R59" t="s">
        <v>61</v>
      </c>
      <c r="U59">
        <v>4.5679150348783699E-4</v>
      </c>
      <c r="V59">
        <v>3801</v>
      </c>
      <c r="W59">
        <v>4</v>
      </c>
      <c r="X59" t="s">
        <v>62</v>
      </c>
      <c r="Y59" s="1">
        <v>44341</v>
      </c>
      <c r="Z59" t="s">
        <v>33</v>
      </c>
    </row>
    <row r="60" spans="1:31" x14ac:dyDescent="0.45">
      <c r="A60">
        <v>24232</v>
      </c>
      <c r="B60" t="s">
        <v>127</v>
      </c>
      <c r="C60" t="s">
        <v>52</v>
      </c>
      <c r="G60" s="1">
        <v>44316</v>
      </c>
      <c r="H60" s="1">
        <v>44316</v>
      </c>
      <c r="I60" t="s">
        <v>33</v>
      </c>
      <c r="J60" t="s">
        <v>33</v>
      </c>
      <c r="K60">
        <v>4</v>
      </c>
      <c r="L60" s="1">
        <v>44334</v>
      </c>
      <c r="M60" s="1">
        <v>44334</v>
      </c>
      <c r="N60" t="s">
        <v>33</v>
      </c>
      <c r="O60" t="s">
        <v>33</v>
      </c>
      <c r="P60" s="1">
        <v>44339</v>
      </c>
      <c r="Q60" s="2">
        <v>44339</v>
      </c>
      <c r="R60" t="s">
        <v>38</v>
      </c>
      <c r="S60">
        <v>0</v>
      </c>
      <c r="U60">
        <v>3.1681818201486E-3</v>
      </c>
      <c r="V60">
        <v>4234</v>
      </c>
      <c r="W60">
        <v>31</v>
      </c>
      <c r="X60" t="s">
        <v>62</v>
      </c>
      <c r="Y60" s="1">
        <v>44339</v>
      </c>
      <c r="Z60" t="s">
        <v>33</v>
      </c>
    </row>
    <row r="61" spans="1:31" hidden="1" x14ac:dyDescent="0.45">
      <c r="A61">
        <v>21537</v>
      </c>
      <c r="B61" t="s">
        <v>128</v>
      </c>
      <c r="C61" t="s">
        <v>46</v>
      </c>
      <c r="G61" s="1">
        <v>44343</v>
      </c>
      <c r="H61" s="1">
        <v>44343</v>
      </c>
      <c r="I61" t="s">
        <v>33</v>
      </c>
      <c r="J61" t="s">
        <v>33</v>
      </c>
      <c r="K61">
        <v>4</v>
      </c>
      <c r="L61" t="s">
        <v>49</v>
      </c>
      <c r="N61" t="s">
        <v>35</v>
      </c>
      <c r="P61" t="s">
        <v>49</v>
      </c>
      <c r="R61" t="s">
        <v>36</v>
      </c>
    </row>
    <row r="62" spans="1:31" hidden="1" x14ac:dyDescent="0.45">
      <c r="A62">
        <v>24119</v>
      </c>
      <c r="B62" t="s">
        <v>129</v>
      </c>
      <c r="C62" t="s">
        <v>44</v>
      </c>
      <c r="G62" t="s">
        <v>34</v>
      </c>
      <c r="I62" t="s">
        <v>42</v>
      </c>
      <c r="K62">
        <v>4</v>
      </c>
      <c r="L62" t="s">
        <v>34</v>
      </c>
      <c r="N62" t="s">
        <v>35</v>
      </c>
      <c r="P62" t="s">
        <v>49</v>
      </c>
      <c r="R62" t="s">
        <v>36</v>
      </c>
    </row>
    <row r="63" spans="1:31" x14ac:dyDescent="0.45">
      <c r="A63">
        <v>24231</v>
      </c>
      <c r="B63" t="s">
        <v>130</v>
      </c>
      <c r="C63" t="s">
        <v>52</v>
      </c>
      <c r="G63" s="1">
        <v>44318</v>
      </c>
      <c r="H63" s="1">
        <v>44318</v>
      </c>
      <c r="I63" t="s">
        <v>33</v>
      </c>
      <c r="J63" t="s">
        <v>33</v>
      </c>
      <c r="K63">
        <v>4</v>
      </c>
      <c r="L63" s="1">
        <v>44327</v>
      </c>
      <c r="M63" s="1">
        <v>44327</v>
      </c>
      <c r="N63" t="s">
        <v>33</v>
      </c>
      <c r="O63" t="s">
        <v>33</v>
      </c>
      <c r="P63" s="1">
        <v>44344</v>
      </c>
      <c r="Q63" s="2">
        <v>44344</v>
      </c>
      <c r="R63" t="s">
        <v>38</v>
      </c>
      <c r="S63">
        <v>0</v>
      </c>
      <c r="U63">
        <v>3.61396936018894E-2</v>
      </c>
      <c r="V63">
        <v>2397</v>
      </c>
      <c r="W63">
        <v>208</v>
      </c>
    </row>
    <row r="64" spans="1:31" hidden="1" x14ac:dyDescent="0.45">
      <c r="A64">
        <v>24549</v>
      </c>
      <c r="B64" t="s">
        <v>131</v>
      </c>
      <c r="C64" t="s">
        <v>41</v>
      </c>
      <c r="G64" t="s">
        <v>34</v>
      </c>
      <c r="I64" t="s">
        <v>42</v>
      </c>
      <c r="K64">
        <v>4</v>
      </c>
      <c r="L64" t="s">
        <v>34</v>
      </c>
      <c r="N64" t="s">
        <v>35</v>
      </c>
      <c r="P64" t="s">
        <v>34</v>
      </c>
      <c r="R64" t="s">
        <v>36</v>
      </c>
    </row>
    <row r="65" spans="1:26" hidden="1" x14ac:dyDescent="0.45">
      <c r="A65">
        <v>25171</v>
      </c>
      <c r="B65" t="s">
        <v>132</v>
      </c>
      <c r="C65" t="s">
        <v>46</v>
      </c>
      <c r="G65" s="1">
        <v>44362</v>
      </c>
      <c r="H65" s="1">
        <v>44362</v>
      </c>
      <c r="I65" t="s">
        <v>33</v>
      </c>
      <c r="J65" t="s">
        <v>33</v>
      </c>
      <c r="K65">
        <v>4</v>
      </c>
      <c r="L65" t="s">
        <v>34</v>
      </c>
      <c r="N65" t="s">
        <v>35</v>
      </c>
      <c r="P65" t="s">
        <v>34</v>
      </c>
      <c r="R65" t="s">
        <v>36</v>
      </c>
    </row>
    <row r="66" spans="1:26" hidden="1" x14ac:dyDescent="0.45">
      <c r="A66">
        <v>11100</v>
      </c>
      <c r="B66" t="s">
        <v>133</v>
      </c>
      <c r="C66" t="s">
        <v>46</v>
      </c>
      <c r="G66" s="1">
        <v>44314</v>
      </c>
      <c r="H66" s="1">
        <v>44314</v>
      </c>
      <c r="I66" t="s">
        <v>33</v>
      </c>
      <c r="J66" t="s">
        <v>33</v>
      </c>
      <c r="K66">
        <v>4</v>
      </c>
      <c r="L66" t="s">
        <v>49</v>
      </c>
      <c r="N66" t="s">
        <v>35</v>
      </c>
      <c r="P66" t="s">
        <v>49</v>
      </c>
      <c r="R66" t="s">
        <v>36</v>
      </c>
    </row>
    <row r="67" spans="1:26" x14ac:dyDescent="0.45">
      <c r="A67">
        <v>24107</v>
      </c>
      <c r="B67" t="s">
        <v>134</v>
      </c>
      <c r="C67" t="s">
        <v>52</v>
      </c>
      <c r="E67" t="s">
        <v>4</v>
      </c>
      <c r="F67" t="s">
        <v>135</v>
      </c>
      <c r="G67" s="1">
        <v>44367</v>
      </c>
      <c r="H67" s="1">
        <v>44367</v>
      </c>
      <c r="I67" t="s">
        <v>33</v>
      </c>
      <c r="J67" t="s">
        <v>33</v>
      </c>
      <c r="K67">
        <v>4</v>
      </c>
      <c r="L67" s="1">
        <v>44379</v>
      </c>
      <c r="N67" t="s">
        <v>57</v>
      </c>
      <c r="O67" t="s">
        <v>58</v>
      </c>
      <c r="P67" s="1">
        <v>44389</v>
      </c>
      <c r="Q67" s="2">
        <v>44389</v>
      </c>
      <c r="R67" t="s">
        <v>38</v>
      </c>
      <c r="S67">
        <v>0</v>
      </c>
      <c r="U67">
        <v>1.1631164033329899E-3</v>
      </c>
      <c r="V67">
        <v>3356</v>
      </c>
      <c r="W67">
        <v>9</v>
      </c>
      <c r="X67" t="s">
        <v>62</v>
      </c>
      <c r="Y67" s="1">
        <v>44389</v>
      </c>
      <c r="Z67" t="s">
        <v>33</v>
      </c>
    </row>
    <row r="68" spans="1:26" x14ac:dyDescent="0.45">
      <c r="A68">
        <v>24261</v>
      </c>
      <c r="B68" t="s">
        <v>136</v>
      </c>
      <c r="C68" t="s">
        <v>52</v>
      </c>
      <c r="G68" s="1">
        <v>44359</v>
      </c>
      <c r="H68" s="1">
        <v>44359</v>
      </c>
      <c r="I68" t="s">
        <v>33</v>
      </c>
      <c r="J68" t="s">
        <v>33</v>
      </c>
      <c r="K68">
        <v>4</v>
      </c>
      <c r="L68" s="1">
        <v>44375</v>
      </c>
      <c r="M68" s="1">
        <v>44375</v>
      </c>
      <c r="N68" t="s">
        <v>33</v>
      </c>
      <c r="O68" t="s">
        <v>33</v>
      </c>
      <c r="P68" s="1">
        <v>44383</v>
      </c>
      <c r="Q68" s="2">
        <v>44387</v>
      </c>
      <c r="R68" t="s">
        <v>38</v>
      </c>
      <c r="S68">
        <v>4</v>
      </c>
      <c r="U68" s="3" t="s">
        <v>137</v>
      </c>
      <c r="V68">
        <v>4004</v>
      </c>
      <c r="W68">
        <v>161</v>
      </c>
    </row>
    <row r="69" spans="1:26" x14ac:dyDescent="0.45">
      <c r="A69">
        <v>24263</v>
      </c>
      <c r="B69" t="s">
        <v>138</v>
      </c>
      <c r="C69" t="s">
        <v>52</v>
      </c>
      <c r="G69" t="s">
        <v>48</v>
      </c>
      <c r="I69" t="s">
        <v>42</v>
      </c>
      <c r="K69">
        <v>4</v>
      </c>
      <c r="L69" s="1">
        <v>44371</v>
      </c>
      <c r="M69" s="1">
        <v>44371</v>
      </c>
      <c r="N69" t="s">
        <v>33</v>
      </c>
      <c r="O69" t="s">
        <v>33</v>
      </c>
      <c r="P69" s="1">
        <v>44386</v>
      </c>
      <c r="Q69" s="2">
        <v>44387</v>
      </c>
      <c r="R69" t="s">
        <v>38</v>
      </c>
      <c r="S69">
        <v>1</v>
      </c>
      <c r="U69">
        <v>3.3609905370443303E-2</v>
      </c>
      <c r="V69">
        <v>3542</v>
      </c>
      <c r="W69">
        <v>285</v>
      </c>
    </row>
    <row r="70" spans="1:26" x14ac:dyDescent="0.45">
      <c r="A70">
        <v>24790</v>
      </c>
      <c r="B70" t="s">
        <v>139</v>
      </c>
      <c r="C70" t="s">
        <v>52</v>
      </c>
      <c r="G70" s="1">
        <v>44330</v>
      </c>
      <c r="H70" s="1">
        <v>44330</v>
      </c>
      <c r="I70" t="s">
        <v>33</v>
      </c>
      <c r="J70" t="s">
        <v>33</v>
      </c>
      <c r="K70">
        <v>4</v>
      </c>
      <c r="L70" s="1">
        <v>44344</v>
      </c>
      <c r="M70" s="1">
        <v>44344</v>
      </c>
      <c r="N70" t="s">
        <v>33</v>
      </c>
      <c r="O70" t="s">
        <v>33</v>
      </c>
      <c r="P70" s="1">
        <v>44371</v>
      </c>
      <c r="Q70" s="2">
        <v>44371</v>
      </c>
      <c r="R70" t="s">
        <v>38</v>
      </c>
      <c r="S70">
        <v>0</v>
      </c>
      <c r="U70">
        <v>9.9842209066009196E-3</v>
      </c>
      <c r="V70">
        <v>3999</v>
      </c>
      <c r="W70">
        <v>93</v>
      </c>
    </row>
    <row r="71" spans="1:26" x14ac:dyDescent="0.45">
      <c r="A71">
        <v>34485</v>
      </c>
      <c r="B71" t="s">
        <v>140</v>
      </c>
      <c r="C71" t="s">
        <v>52</v>
      </c>
      <c r="G71" s="1">
        <v>44665</v>
      </c>
      <c r="H71" s="1">
        <v>44665</v>
      </c>
      <c r="I71" t="s">
        <v>33</v>
      </c>
      <c r="J71" t="s">
        <v>33</v>
      </c>
      <c r="K71">
        <v>4</v>
      </c>
      <c r="L71" s="1">
        <v>44681</v>
      </c>
      <c r="M71" s="1">
        <v>44681</v>
      </c>
      <c r="N71" t="s">
        <v>33</v>
      </c>
      <c r="O71" t="s">
        <v>33</v>
      </c>
      <c r="P71" s="1">
        <v>44711</v>
      </c>
      <c r="Q71" s="2">
        <v>44713</v>
      </c>
      <c r="R71" t="s">
        <v>38</v>
      </c>
      <c r="S71">
        <v>2</v>
      </c>
      <c r="U71">
        <v>4.6619883031010202E-2</v>
      </c>
      <c r="V71">
        <v>4880</v>
      </c>
      <c r="W71">
        <v>553</v>
      </c>
    </row>
    <row r="72" spans="1:26" x14ac:dyDescent="0.45">
      <c r="A72">
        <v>53136</v>
      </c>
      <c r="B72" t="s">
        <v>141</v>
      </c>
      <c r="C72" t="s">
        <v>52</v>
      </c>
      <c r="F72" t="s">
        <v>142</v>
      </c>
      <c r="G72" s="1">
        <v>44666</v>
      </c>
      <c r="H72" s="1">
        <v>44666</v>
      </c>
      <c r="I72" t="s">
        <v>33</v>
      </c>
      <c r="J72" t="s">
        <v>33</v>
      </c>
      <c r="K72">
        <v>4</v>
      </c>
      <c r="L72" s="1">
        <v>44681</v>
      </c>
      <c r="M72" s="1">
        <v>44681</v>
      </c>
      <c r="N72" t="s">
        <v>33</v>
      </c>
      <c r="O72" t="s">
        <v>33</v>
      </c>
      <c r="P72" s="1">
        <v>44699</v>
      </c>
      <c r="Q72" s="2">
        <v>44703</v>
      </c>
      <c r="R72" t="s">
        <v>38</v>
      </c>
      <c r="S72">
        <v>4</v>
      </c>
      <c r="U72">
        <v>3.5093102769419897E-2</v>
      </c>
      <c r="V72">
        <v>5549</v>
      </c>
      <c r="W72">
        <v>467</v>
      </c>
    </row>
    <row r="73" spans="1:26" hidden="1" x14ac:dyDescent="0.45">
      <c r="A73">
        <v>34044</v>
      </c>
      <c r="B73" t="s">
        <v>143</v>
      </c>
      <c r="C73" t="s">
        <v>119</v>
      </c>
      <c r="G73" t="s">
        <v>34</v>
      </c>
      <c r="I73" t="s">
        <v>42</v>
      </c>
      <c r="K73">
        <v>4</v>
      </c>
      <c r="L73" t="s">
        <v>34</v>
      </c>
      <c r="N73" t="s">
        <v>35</v>
      </c>
      <c r="P73" t="s">
        <v>34</v>
      </c>
      <c r="R73" t="s">
        <v>36</v>
      </c>
    </row>
    <row r="74" spans="1:26" x14ac:dyDescent="0.45">
      <c r="A74">
        <v>34079</v>
      </c>
      <c r="B74" t="s">
        <v>144</v>
      </c>
      <c r="C74" t="s">
        <v>52</v>
      </c>
      <c r="G74" s="1">
        <v>44712</v>
      </c>
      <c r="H74" s="1">
        <v>44712</v>
      </c>
      <c r="I74" t="s">
        <v>33</v>
      </c>
      <c r="J74" t="s">
        <v>33</v>
      </c>
      <c r="K74">
        <v>4</v>
      </c>
      <c r="L74" s="1">
        <v>44728</v>
      </c>
      <c r="M74" s="1">
        <v>44728</v>
      </c>
      <c r="N74" t="s">
        <v>33</v>
      </c>
      <c r="O74" t="s">
        <v>33</v>
      </c>
      <c r="P74" s="1">
        <v>44733</v>
      </c>
      <c r="Q74" s="2">
        <v>44733</v>
      </c>
      <c r="R74" t="s">
        <v>38</v>
      </c>
      <c r="S74">
        <v>0</v>
      </c>
      <c r="U74">
        <v>4.6449050457635296E-3</v>
      </c>
      <c r="V74">
        <v>3813</v>
      </c>
      <c r="W74">
        <v>41</v>
      </c>
      <c r="X74" t="s">
        <v>62</v>
      </c>
      <c r="Y74" s="1">
        <v>44733</v>
      </c>
      <c r="Z74" t="s">
        <v>33</v>
      </c>
    </row>
    <row r="75" spans="1:26" hidden="1" x14ac:dyDescent="0.45">
      <c r="A75">
        <v>34111</v>
      </c>
      <c r="B75" t="s">
        <v>145</v>
      </c>
      <c r="C75" t="s">
        <v>119</v>
      </c>
      <c r="G75" t="s">
        <v>34</v>
      </c>
      <c r="I75" t="s">
        <v>42</v>
      </c>
      <c r="K75">
        <v>8</v>
      </c>
      <c r="L75" t="s">
        <v>34</v>
      </c>
      <c r="N75" t="s">
        <v>35</v>
      </c>
      <c r="P75" t="s">
        <v>34</v>
      </c>
      <c r="R75" t="s">
        <v>36</v>
      </c>
    </row>
    <row r="76" spans="1:26" x14ac:dyDescent="0.45">
      <c r="A76">
        <v>34112</v>
      </c>
      <c r="B76" t="s">
        <v>146</v>
      </c>
      <c r="C76" t="s">
        <v>52</v>
      </c>
      <c r="G76" s="1">
        <v>44702</v>
      </c>
      <c r="H76" s="1">
        <v>44703</v>
      </c>
      <c r="I76" t="s">
        <v>57</v>
      </c>
      <c r="J76">
        <v>-1</v>
      </c>
      <c r="K76">
        <v>8</v>
      </c>
      <c r="L76" s="1">
        <v>44712</v>
      </c>
      <c r="M76" s="1">
        <v>44712</v>
      </c>
      <c r="N76" t="s">
        <v>33</v>
      </c>
      <c r="O76" t="s">
        <v>33</v>
      </c>
      <c r="P76" s="1">
        <v>44729</v>
      </c>
      <c r="Q76" s="2">
        <v>44732</v>
      </c>
      <c r="R76" t="s">
        <v>38</v>
      </c>
      <c r="S76">
        <v>3</v>
      </c>
      <c r="U76">
        <v>5.37718078771467E-2</v>
      </c>
      <c r="V76">
        <v>7898</v>
      </c>
      <c r="W76">
        <v>1041</v>
      </c>
    </row>
    <row r="77" spans="1:26" x14ac:dyDescent="0.45">
      <c r="A77">
        <v>34113</v>
      </c>
      <c r="B77" t="s">
        <v>147</v>
      </c>
      <c r="C77" t="s">
        <v>52</v>
      </c>
      <c r="F77" t="s">
        <v>148</v>
      </c>
      <c r="G77" s="1">
        <v>44703</v>
      </c>
      <c r="H77" s="1">
        <v>44703</v>
      </c>
      <c r="I77" t="s">
        <v>33</v>
      </c>
      <c r="J77" t="s">
        <v>33</v>
      </c>
      <c r="K77">
        <v>8</v>
      </c>
      <c r="L77" s="1">
        <v>44713</v>
      </c>
      <c r="M77" s="1">
        <v>44713</v>
      </c>
      <c r="N77" t="s">
        <v>33</v>
      </c>
      <c r="O77" t="s">
        <v>33</v>
      </c>
      <c r="P77" s="1">
        <v>44729</v>
      </c>
      <c r="Q77" s="2">
        <v>44730</v>
      </c>
      <c r="R77" t="s">
        <v>38</v>
      </c>
      <c r="S77">
        <v>1</v>
      </c>
      <c r="U77">
        <v>7.0514781592383405E-2</v>
      </c>
      <c r="V77">
        <v>3931</v>
      </c>
      <c r="W77">
        <v>693</v>
      </c>
    </row>
    <row r="78" spans="1:26" x14ac:dyDescent="0.45">
      <c r="A78">
        <v>34115</v>
      </c>
      <c r="B78" t="s">
        <v>149</v>
      </c>
      <c r="C78" t="s">
        <v>52</v>
      </c>
      <c r="G78" s="1">
        <v>44704</v>
      </c>
      <c r="I78" t="s">
        <v>57</v>
      </c>
      <c r="J78" t="s">
        <v>58</v>
      </c>
      <c r="K78">
        <v>8</v>
      </c>
      <c r="L78" s="1">
        <v>44719</v>
      </c>
      <c r="M78" s="1">
        <v>44722</v>
      </c>
      <c r="N78" t="s">
        <v>57</v>
      </c>
      <c r="O78">
        <v>-3</v>
      </c>
      <c r="P78" t="s">
        <v>49</v>
      </c>
      <c r="R78" t="s">
        <v>36</v>
      </c>
      <c r="U78" s="3" t="s">
        <v>150</v>
      </c>
      <c r="V78">
        <v>5514</v>
      </c>
      <c r="W78">
        <v>146</v>
      </c>
    </row>
    <row r="79" spans="1:26" x14ac:dyDescent="0.45">
      <c r="A79">
        <v>34078</v>
      </c>
      <c r="B79" t="s">
        <v>151</v>
      </c>
      <c r="C79" t="s">
        <v>52</v>
      </c>
      <c r="G79" s="1">
        <v>44666</v>
      </c>
      <c r="H79" s="1">
        <v>44666</v>
      </c>
      <c r="I79" t="s">
        <v>33</v>
      </c>
      <c r="J79" t="s">
        <v>33</v>
      </c>
      <c r="K79">
        <v>4</v>
      </c>
      <c r="L79" s="1">
        <v>44679</v>
      </c>
      <c r="M79" s="1">
        <v>44679</v>
      </c>
      <c r="N79" t="s">
        <v>33</v>
      </c>
      <c r="O79" t="s">
        <v>33</v>
      </c>
      <c r="P79" s="1">
        <v>44707</v>
      </c>
      <c r="Q79" s="2">
        <v>44709</v>
      </c>
      <c r="R79" t="s">
        <v>38</v>
      </c>
      <c r="S79">
        <v>2</v>
      </c>
      <c r="U79">
        <v>4.0615908933568999E-2</v>
      </c>
      <c r="V79">
        <v>7987</v>
      </c>
      <c r="W79">
        <v>783</v>
      </c>
    </row>
    <row r="80" spans="1:26" x14ac:dyDescent="0.45">
      <c r="A80">
        <v>34118</v>
      </c>
      <c r="B80" t="s">
        <v>152</v>
      </c>
      <c r="C80" t="s">
        <v>41</v>
      </c>
      <c r="G80" t="s">
        <v>34</v>
      </c>
      <c r="I80" t="s">
        <v>42</v>
      </c>
      <c r="K80">
        <v>4</v>
      </c>
      <c r="L80" t="s">
        <v>34</v>
      </c>
      <c r="N80" t="s">
        <v>35</v>
      </c>
      <c r="P80" t="s">
        <v>34</v>
      </c>
      <c r="R80" t="s">
        <v>36</v>
      </c>
      <c r="U80" s="3" t="s">
        <v>153</v>
      </c>
      <c r="V80">
        <v>330</v>
      </c>
      <c r="W80">
        <v>15</v>
      </c>
    </row>
    <row r="81" spans="1:31" x14ac:dyDescent="0.45">
      <c r="A81">
        <v>34119</v>
      </c>
      <c r="B81" t="s">
        <v>154</v>
      </c>
      <c r="C81" t="s">
        <v>41</v>
      </c>
      <c r="F81" t="s">
        <v>155</v>
      </c>
      <c r="G81" t="s">
        <v>34</v>
      </c>
      <c r="I81" t="s">
        <v>42</v>
      </c>
      <c r="K81">
        <v>4</v>
      </c>
      <c r="L81" t="s">
        <v>34</v>
      </c>
      <c r="N81" t="s">
        <v>35</v>
      </c>
      <c r="P81" t="s">
        <v>34</v>
      </c>
      <c r="R81" t="s">
        <v>36</v>
      </c>
      <c r="U81">
        <v>1.1650923266536399E-2</v>
      </c>
      <c r="V81">
        <v>331</v>
      </c>
      <c r="W81">
        <v>9</v>
      </c>
    </row>
    <row r="82" spans="1:31" x14ac:dyDescent="0.45">
      <c r="A82">
        <v>33966</v>
      </c>
      <c r="B82" t="s">
        <v>156</v>
      </c>
      <c r="C82" t="s">
        <v>32</v>
      </c>
      <c r="G82" s="1">
        <v>44663</v>
      </c>
      <c r="H82" s="1">
        <v>44663</v>
      </c>
      <c r="I82" t="s">
        <v>33</v>
      </c>
      <c r="J82" t="s">
        <v>33</v>
      </c>
      <c r="K82">
        <v>4</v>
      </c>
      <c r="L82" s="1">
        <v>44678</v>
      </c>
      <c r="M82" s="1">
        <v>44678</v>
      </c>
      <c r="N82" t="s">
        <v>33</v>
      </c>
      <c r="O82" t="s">
        <v>33</v>
      </c>
      <c r="P82" s="1">
        <v>44701</v>
      </c>
      <c r="Q82" s="2">
        <v>44704</v>
      </c>
      <c r="R82" t="s">
        <v>38</v>
      </c>
      <c r="S82">
        <v>3</v>
      </c>
      <c r="U82" s="3" t="s">
        <v>157</v>
      </c>
      <c r="V82">
        <v>9334</v>
      </c>
      <c r="W82">
        <v>374</v>
      </c>
    </row>
    <row r="83" spans="1:31" x14ac:dyDescent="0.45">
      <c r="A83">
        <v>33966</v>
      </c>
      <c r="B83" t="s">
        <v>158</v>
      </c>
      <c r="C83" t="s">
        <v>32</v>
      </c>
      <c r="G83" s="1">
        <v>44700</v>
      </c>
      <c r="H83" s="1">
        <v>44700</v>
      </c>
      <c r="I83" t="s">
        <v>33</v>
      </c>
      <c r="J83" t="s">
        <v>33</v>
      </c>
      <c r="K83">
        <v>4</v>
      </c>
      <c r="L83" s="1">
        <v>44713</v>
      </c>
      <c r="M83" s="1">
        <v>44713</v>
      </c>
      <c r="N83" t="s">
        <v>33</v>
      </c>
      <c r="O83" t="s">
        <v>33</v>
      </c>
      <c r="P83" s="1">
        <v>44739</v>
      </c>
      <c r="Q83" s="2">
        <v>44739</v>
      </c>
      <c r="R83" t="s">
        <v>38</v>
      </c>
      <c r="S83">
        <v>0</v>
      </c>
      <c r="U83" s="3" t="s">
        <v>157</v>
      </c>
      <c r="V83">
        <v>9334</v>
      </c>
      <c r="W83">
        <v>374</v>
      </c>
      <c r="X83" t="s">
        <v>62</v>
      </c>
      <c r="Y83" s="1">
        <v>44739</v>
      </c>
      <c r="Z83" t="s">
        <v>33</v>
      </c>
    </row>
    <row r="84" spans="1:31" hidden="1" x14ac:dyDescent="0.45">
      <c r="A84">
        <v>34077</v>
      </c>
      <c r="B84" t="s">
        <v>159</v>
      </c>
      <c r="C84" t="s">
        <v>32</v>
      </c>
      <c r="G84" s="1">
        <v>44666</v>
      </c>
      <c r="H84" s="1">
        <v>44666</v>
      </c>
      <c r="I84" t="s">
        <v>33</v>
      </c>
      <c r="J84" t="s">
        <v>33</v>
      </c>
      <c r="K84">
        <v>4</v>
      </c>
      <c r="L84" t="s">
        <v>34</v>
      </c>
      <c r="N84" t="s">
        <v>35</v>
      </c>
      <c r="P84" t="s">
        <v>34</v>
      </c>
      <c r="R84" t="s">
        <v>36</v>
      </c>
    </row>
    <row r="85" spans="1:31" hidden="1" x14ac:dyDescent="0.45">
      <c r="A85">
        <v>34077</v>
      </c>
      <c r="B85" t="s">
        <v>160</v>
      </c>
      <c r="C85" t="s">
        <v>32</v>
      </c>
      <c r="G85" t="s">
        <v>34</v>
      </c>
      <c r="I85" t="s">
        <v>42</v>
      </c>
      <c r="K85">
        <v>4</v>
      </c>
      <c r="L85" t="s">
        <v>34</v>
      </c>
      <c r="N85" t="s">
        <v>35</v>
      </c>
      <c r="P85" t="s">
        <v>34</v>
      </c>
      <c r="R85" t="s">
        <v>36</v>
      </c>
    </row>
    <row r="86" spans="1:31" x14ac:dyDescent="0.45">
      <c r="A86">
        <v>34117</v>
      </c>
      <c r="B86" t="s">
        <v>161</v>
      </c>
      <c r="C86" t="s">
        <v>46</v>
      </c>
      <c r="G86" s="1">
        <v>44670</v>
      </c>
      <c r="I86" t="s">
        <v>57</v>
      </c>
      <c r="J86" t="s">
        <v>58</v>
      </c>
      <c r="K86">
        <v>4</v>
      </c>
      <c r="L86" s="1">
        <v>44679</v>
      </c>
      <c r="M86" s="1">
        <v>44679</v>
      </c>
      <c r="N86" t="s">
        <v>33</v>
      </c>
      <c r="O86" t="s">
        <v>33</v>
      </c>
      <c r="P86" s="1">
        <v>44708</v>
      </c>
      <c r="Q86" s="2">
        <v>44709</v>
      </c>
      <c r="R86" t="s">
        <v>38</v>
      </c>
      <c r="S86">
        <v>1</v>
      </c>
      <c r="U86">
        <v>4.7477070352901898E-2</v>
      </c>
      <c r="V86">
        <v>3428</v>
      </c>
      <c r="W86">
        <v>396</v>
      </c>
    </row>
    <row r="87" spans="1:31" hidden="1" x14ac:dyDescent="0.45">
      <c r="A87">
        <v>34076</v>
      </c>
      <c r="B87" t="s">
        <v>162</v>
      </c>
      <c r="C87" t="s">
        <v>119</v>
      </c>
      <c r="G87" t="s">
        <v>34</v>
      </c>
      <c r="I87" t="s">
        <v>42</v>
      </c>
      <c r="K87">
        <v>4</v>
      </c>
      <c r="L87" t="s">
        <v>34</v>
      </c>
      <c r="N87" t="s">
        <v>35</v>
      </c>
      <c r="P87" t="s">
        <v>34</v>
      </c>
      <c r="R87" t="s">
        <v>36</v>
      </c>
    </row>
    <row r="88" spans="1:31" x14ac:dyDescent="0.45">
      <c r="A88">
        <v>34075</v>
      </c>
      <c r="B88" t="s">
        <v>163</v>
      </c>
      <c r="C88" t="s">
        <v>46</v>
      </c>
      <c r="G88" t="s">
        <v>48</v>
      </c>
      <c r="I88" t="s">
        <v>42</v>
      </c>
      <c r="K88">
        <v>4</v>
      </c>
      <c r="L88" t="s">
        <v>34</v>
      </c>
      <c r="N88" t="s">
        <v>35</v>
      </c>
      <c r="P88" t="s">
        <v>49</v>
      </c>
      <c r="R88" t="s">
        <v>36</v>
      </c>
      <c r="U88">
        <v>4.1559597711577001E-3</v>
      </c>
      <c r="V88">
        <v>104</v>
      </c>
      <c r="W88">
        <v>1</v>
      </c>
    </row>
    <row r="89" spans="1:31" hidden="1" x14ac:dyDescent="0.45">
      <c r="A89">
        <v>33851</v>
      </c>
      <c r="B89" t="s">
        <v>164</v>
      </c>
      <c r="C89" t="s">
        <v>41</v>
      </c>
      <c r="G89" t="s">
        <v>34</v>
      </c>
      <c r="I89" t="s">
        <v>42</v>
      </c>
      <c r="K89">
        <v>8</v>
      </c>
      <c r="L89" t="s">
        <v>34</v>
      </c>
      <c r="N89" t="s">
        <v>35</v>
      </c>
      <c r="P89" t="s">
        <v>34</v>
      </c>
      <c r="R89" t="s">
        <v>36</v>
      </c>
    </row>
    <row r="90" spans="1:31" x14ac:dyDescent="0.45">
      <c r="A90">
        <v>34073</v>
      </c>
      <c r="B90" t="s">
        <v>165</v>
      </c>
      <c r="C90" t="s">
        <v>52</v>
      </c>
      <c r="E90" t="s">
        <v>4</v>
      </c>
      <c r="G90" s="1">
        <v>44697</v>
      </c>
      <c r="I90" t="s">
        <v>57</v>
      </c>
      <c r="J90" t="s">
        <v>58</v>
      </c>
      <c r="K90">
        <v>8</v>
      </c>
      <c r="L90" s="1">
        <v>44706</v>
      </c>
      <c r="N90" t="s">
        <v>57</v>
      </c>
      <c r="O90" t="s">
        <v>58</v>
      </c>
      <c r="P90" t="s">
        <v>49</v>
      </c>
      <c r="R90" t="s">
        <v>36</v>
      </c>
      <c r="U90">
        <v>1.4702486621419601E-2</v>
      </c>
      <c r="V90">
        <v>1394</v>
      </c>
      <c r="W90">
        <v>48</v>
      </c>
    </row>
    <row r="91" spans="1:31" x14ac:dyDescent="0.45">
      <c r="A91">
        <v>34071</v>
      </c>
      <c r="B91" t="s">
        <v>166</v>
      </c>
      <c r="C91" t="s">
        <v>52</v>
      </c>
      <c r="G91" s="1">
        <v>44673</v>
      </c>
      <c r="H91" s="1">
        <v>44673</v>
      </c>
      <c r="I91" t="s">
        <v>33</v>
      </c>
      <c r="J91" t="s">
        <v>33</v>
      </c>
      <c r="K91">
        <v>4</v>
      </c>
      <c r="L91" s="1">
        <v>44689</v>
      </c>
      <c r="M91" s="1">
        <v>44689</v>
      </c>
      <c r="N91" t="s">
        <v>33</v>
      </c>
      <c r="O91" t="s">
        <v>33</v>
      </c>
      <c r="P91" s="1">
        <v>44709</v>
      </c>
      <c r="Q91" s="2">
        <v>44709</v>
      </c>
      <c r="R91" t="s">
        <v>38</v>
      </c>
      <c r="S91">
        <v>0</v>
      </c>
      <c r="U91">
        <v>1.5697574656526499E-2</v>
      </c>
      <c r="V91">
        <v>6738</v>
      </c>
      <c r="W91">
        <v>248</v>
      </c>
    </row>
    <row r="92" spans="1:31" x14ac:dyDescent="0.45">
      <c r="A92">
        <v>34072</v>
      </c>
      <c r="B92" t="s">
        <v>167</v>
      </c>
      <c r="C92" t="s">
        <v>52</v>
      </c>
      <c r="F92" t="s">
        <v>168</v>
      </c>
      <c r="G92" s="1">
        <v>44673</v>
      </c>
      <c r="H92" s="1">
        <v>44673</v>
      </c>
      <c r="I92" t="s">
        <v>33</v>
      </c>
      <c r="J92" t="s">
        <v>33</v>
      </c>
      <c r="K92">
        <v>4</v>
      </c>
      <c r="L92" s="1">
        <v>44690</v>
      </c>
      <c r="M92" s="1">
        <v>44690</v>
      </c>
      <c r="N92" t="s">
        <v>33</v>
      </c>
      <c r="O92" t="s">
        <v>33</v>
      </c>
      <c r="P92" s="1">
        <v>44716</v>
      </c>
      <c r="Q92" s="2">
        <v>44716</v>
      </c>
      <c r="R92" t="s">
        <v>38</v>
      </c>
      <c r="S92">
        <v>0</v>
      </c>
      <c r="U92" s="3" t="s">
        <v>169</v>
      </c>
      <c r="V92">
        <v>5825</v>
      </c>
      <c r="W92">
        <v>245</v>
      </c>
    </row>
    <row r="93" spans="1:31" hidden="1" x14ac:dyDescent="0.45">
      <c r="A93">
        <v>52598</v>
      </c>
      <c r="B93" t="s">
        <v>170</v>
      </c>
      <c r="C93" t="s">
        <v>41</v>
      </c>
      <c r="G93" t="s">
        <v>34</v>
      </c>
      <c r="I93" t="s">
        <v>42</v>
      </c>
      <c r="K93">
        <v>4</v>
      </c>
      <c r="L93" t="s">
        <v>34</v>
      </c>
      <c r="N93" t="s">
        <v>35</v>
      </c>
      <c r="P93" t="s">
        <v>34</v>
      </c>
      <c r="R93" t="s">
        <v>36</v>
      </c>
    </row>
    <row r="94" spans="1:31" x14ac:dyDescent="0.45">
      <c r="A94">
        <v>34130</v>
      </c>
      <c r="B94" t="s">
        <v>171</v>
      </c>
      <c r="C94" t="s">
        <v>52</v>
      </c>
      <c r="G94" s="1">
        <v>44671</v>
      </c>
      <c r="H94" s="1">
        <v>44671</v>
      </c>
      <c r="I94" t="s">
        <v>33</v>
      </c>
      <c r="J94" t="s">
        <v>33</v>
      </c>
      <c r="K94">
        <v>4</v>
      </c>
      <c r="L94" s="1">
        <v>44682</v>
      </c>
      <c r="M94" s="1">
        <v>44682</v>
      </c>
      <c r="N94" t="s">
        <v>33</v>
      </c>
      <c r="O94" t="s">
        <v>33</v>
      </c>
      <c r="P94" s="1">
        <v>44697</v>
      </c>
      <c r="Q94" s="2">
        <v>44697</v>
      </c>
      <c r="R94" t="s">
        <v>38</v>
      </c>
      <c r="S94">
        <v>0</v>
      </c>
      <c r="U94" s="3" t="s">
        <v>172</v>
      </c>
      <c r="V94">
        <v>3848</v>
      </c>
      <c r="W94">
        <v>90</v>
      </c>
    </row>
    <row r="95" spans="1:31" x14ac:dyDescent="0.45">
      <c r="A95">
        <v>52597</v>
      </c>
      <c r="B95" t="s">
        <v>173</v>
      </c>
      <c r="C95" t="s">
        <v>52</v>
      </c>
      <c r="G95" s="1">
        <v>44671</v>
      </c>
      <c r="H95" s="1">
        <v>44671</v>
      </c>
      <c r="I95" t="s">
        <v>33</v>
      </c>
      <c r="J95" t="s">
        <v>33</v>
      </c>
      <c r="K95">
        <v>4</v>
      </c>
      <c r="L95" s="1">
        <v>44684</v>
      </c>
      <c r="M95" s="1">
        <v>44684</v>
      </c>
      <c r="N95" t="s">
        <v>33</v>
      </c>
      <c r="O95" t="s">
        <v>33</v>
      </c>
      <c r="P95" s="1">
        <v>44702</v>
      </c>
      <c r="Q95" s="2">
        <v>44702</v>
      </c>
      <c r="R95" t="s">
        <v>38</v>
      </c>
      <c r="S95">
        <v>0</v>
      </c>
      <c r="U95">
        <v>8.6989384794571994E-3</v>
      </c>
      <c r="V95">
        <v>3707</v>
      </c>
      <c r="W95">
        <v>75</v>
      </c>
      <c r="X95" t="s">
        <v>62</v>
      </c>
      <c r="Y95" s="1">
        <v>44702</v>
      </c>
      <c r="Z95" t="s">
        <v>33</v>
      </c>
    </row>
    <row r="96" spans="1:31" x14ac:dyDescent="0.45">
      <c r="A96">
        <v>34012</v>
      </c>
      <c r="B96" t="s">
        <v>174</v>
      </c>
      <c r="C96" t="s">
        <v>115</v>
      </c>
      <c r="D96" t="s">
        <v>116</v>
      </c>
      <c r="G96" t="s">
        <v>48</v>
      </c>
      <c r="I96" t="s">
        <v>42</v>
      </c>
      <c r="K96">
        <v>8</v>
      </c>
      <c r="L96" s="1">
        <v>44693</v>
      </c>
      <c r="M96" s="1">
        <v>44693</v>
      </c>
      <c r="N96" t="s">
        <v>33</v>
      </c>
      <c r="O96" t="s">
        <v>33</v>
      </c>
      <c r="P96" s="1">
        <v>44712</v>
      </c>
      <c r="R96" t="s">
        <v>71</v>
      </c>
      <c r="U96">
        <v>8.0378540594570599E-2</v>
      </c>
      <c r="V96">
        <v>6822</v>
      </c>
      <c r="W96">
        <v>1387</v>
      </c>
      <c r="X96" t="s">
        <v>72</v>
      </c>
      <c r="AB96" t="s">
        <v>69</v>
      </c>
      <c r="AD96" s="1">
        <v>44713</v>
      </c>
      <c r="AE96">
        <v>-1</v>
      </c>
    </row>
    <row r="97" spans="1:31" x14ac:dyDescent="0.45">
      <c r="A97">
        <v>34012</v>
      </c>
      <c r="B97" t="s">
        <v>175</v>
      </c>
      <c r="C97" t="s">
        <v>115</v>
      </c>
      <c r="D97" t="s">
        <v>116</v>
      </c>
      <c r="G97" s="1">
        <v>44703</v>
      </c>
      <c r="I97" t="s">
        <v>57</v>
      </c>
      <c r="J97" t="s">
        <v>58</v>
      </c>
      <c r="K97">
        <v>8</v>
      </c>
      <c r="L97" s="1">
        <v>44719</v>
      </c>
      <c r="M97" s="1">
        <v>44719</v>
      </c>
      <c r="N97" t="s">
        <v>33</v>
      </c>
      <c r="O97" t="s">
        <v>33</v>
      </c>
      <c r="P97" t="s">
        <v>49</v>
      </c>
      <c r="R97" t="s">
        <v>36</v>
      </c>
      <c r="U97">
        <v>8.0378540594570599E-2</v>
      </c>
      <c r="V97">
        <v>6822</v>
      </c>
      <c r="W97">
        <v>1387</v>
      </c>
    </row>
    <row r="98" spans="1:31" x14ac:dyDescent="0.45">
      <c r="A98">
        <v>34013</v>
      </c>
      <c r="B98" t="s">
        <v>176</v>
      </c>
      <c r="C98" t="s">
        <v>52</v>
      </c>
      <c r="F98" t="s">
        <v>177</v>
      </c>
      <c r="G98" s="1">
        <v>44705</v>
      </c>
      <c r="I98" t="s">
        <v>57</v>
      </c>
      <c r="J98" t="s">
        <v>58</v>
      </c>
      <c r="K98">
        <v>8</v>
      </c>
      <c r="L98" s="1">
        <v>44713</v>
      </c>
      <c r="M98" s="1">
        <v>44713</v>
      </c>
      <c r="N98" t="s">
        <v>33</v>
      </c>
      <c r="O98" t="s">
        <v>33</v>
      </c>
      <c r="P98" t="s">
        <v>49</v>
      </c>
      <c r="R98" t="s">
        <v>36</v>
      </c>
      <c r="U98" s="3" t="s">
        <v>178</v>
      </c>
      <c r="V98">
        <v>4807</v>
      </c>
      <c r="W98">
        <v>1287</v>
      </c>
    </row>
    <row r="99" spans="1:31" x14ac:dyDescent="0.45">
      <c r="A99">
        <v>34131</v>
      </c>
      <c r="B99" t="s">
        <v>179</v>
      </c>
      <c r="C99" t="s">
        <v>44</v>
      </c>
      <c r="G99" s="1">
        <v>44681</v>
      </c>
      <c r="H99" s="1">
        <v>44681</v>
      </c>
      <c r="I99" t="s">
        <v>33</v>
      </c>
      <c r="J99" t="s">
        <v>33</v>
      </c>
      <c r="K99">
        <v>4</v>
      </c>
      <c r="L99" s="1">
        <v>44689</v>
      </c>
      <c r="M99" s="1">
        <v>44689</v>
      </c>
      <c r="N99" t="s">
        <v>33</v>
      </c>
      <c r="O99" t="s">
        <v>33</v>
      </c>
      <c r="P99" s="1">
        <v>44709</v>
      </c>
      <c r="Q99" s="2">
        <v>44709</v>
      </c>
      <c r="R99" t="s">
        <v>38</v>
      </c>
      <c r="S99">
        <v>0</v>
      </c>
      <c r="U99">
        <v>5.5508218273812297E-2</v>
      </c>
      <c r="V99">
        <v>1907</v>
      </c>
      <c r="W99">
        <v>260</v>
      </c>
      <c r="X99" t="s">
        <v>72</v>
      </c>
      <c r="AA99" s="1">
        <v>44709</v>
      </c>
      <c r="AB99" t="s">
        <v>38</v>
      </c>
      <c r="AC99">
        <v>0</v>
      </c>
      <c r="AD99" s="1">
        <v>44699</v>
      </c>
      <c r="AE99">
        <v>10</v>
      </c>
    </row>
    <row r="100" spans="1:31" x14ac:dyDescent="0.45">
      <c r="A100">
        <v>34133</v>
      </c>
      <c r="B100" t="s">
        <v>180</v>
      </c>
      <c r="C100" t="s">
        <v>44</v>
      </c>
      <c r="G100" t="s">
        <v>48</v>
      </c>
      <c r="I100" t="s">
        <v>42</v>
      </c>
      <c r="K100">
        <v>4</v>
      </c>
      <c r="L100" s="1">
        <v>44676</v>
      </c>
      <c r="M100" s="1">
        <v>44676</v>
      </c>
      <c r="N100" t="s">
        <v>33</v>
      </c>
      <c r="O100" t="s">
        <v>33</v>
      </c>
      <c r="P100" t="s">
        <v>49</v>
      </c>
      <c r="R100" t="s">
        <v>36</v>
      </c>
      <c r="U100">
        <v>7.9048657287045798E-2</v>
      </c>
      <c r="V100">
        <v>546</v>
      </c>
      <c r="W100">
        <v>109</v>
      </c>
    </row>
    <row r="101" spans="1:31" x14ac:dyDescent="0.45">
      <c r="A101">
        <v>34132</v>
      </c>
      <c r="B101" t="s">
        <v>181</v>
      </c>
      <c r="C101" t="s">
        <v>44</v>
      </c>
      <c r="G101" t="s">
        <v>48</v>
      </c>
      <c r="I101" t="s">
        <v>42</v>
      </c>
      <c r="K101">
        <v>4</v>
      </c>
      <c r="L101" s="1">
        <v>44690</v>
      </c>
      <c r="M101" s="1">
        <v>44690</v>
      </c>
      <c r="N101" t="s">
        <v>33</v>
      </c>
      <c r="O101" t="s">
        <v>33</v>
      </c>
      <c r="P101" s="1">
        <v>44707</v>
      </c>
      <c r="Q101" s="2">
        <v>44707</v>
      </c>
      <c r="R101" t="s">
        <v>38</v>
      </c>
      <c r="S101">
        <v>0</v>
      </c>
      <c r="U101" s="3" t="s">
        <v>182</v>
      </c>
      <c r="V101">
        <v>1905</v>
      </c>
      <c r="W101">
        <v>139</v>
      </c>
      <c r="X101" t="s">
        <v>72</v>
      </c>
      <c r="AA101" s="1">
        <v>44707</v>
      </c>
      <c r="AB101" t="s">
        <v>38</v>
      </c>
      <c r="AC101">
        <v>0</v>
      </c>
      <c r="AD101" s="1">
        <v>44707</v>
      </c>
      <c r="AE101" t="s">
        <v>33</v>
      </c>
    </row>
    <row r="102" spans="1:31" x14ac:dyDescent="0.45">
      <c r="A102">
        <v>34045</v>
      </c>
      <c r="B102" t="s">
        <v>183</v>
      </c>
      <c r="C102" t="s">
        <v>44</v>
      </c>
      <c r="G102" s="1">
        <v>44665</v>
      </c>
      <c r="H102" s="1">
        <v>44665</v>
      </c>
      <c r="I102" t="s">
        <v>33</v>
      </c>
      <c r="J102" t="s">
        <v>33</v>
      </c>
      <c r="K102">
        <v>4</v>
      </c>
      <c r="L102" s="1">
        <v>44678</v>
      </c>
      <c r="M102" s="1">
        <v>44678</v>
      </c>
      <c r="N102" t="s">
        <v>33</v>
      </c>
      <c r="O102" t="s">
        <v>33</v>
      </c>
      <c r="P102" t="s">
        <v>49</v>
      </c>
      <c r="R102" t="s">
        <v>36</v>
      </c>
      <c r="U102" s="3" t="s">
        <v>184</v>
      </c>
      <c r="V102">
        <v>4554</v>
      </c>
      <c r="W102">
        <v>648</v>
      </c>
    </row>
    <row r="103" spans="1:31" x14ac:dyDescent="0.45">
      <c r="A103">
        <v>34046</v>
      </c>
      <c r="B103" t="s">
        <v>185</v>
      </c>
      <c r="C103" t="s">
        <v>44</v>
      </c>
      <c r="E103" t="s">
        <v>4</v>
      </c>
      <c r="G103" s="1">
        <v>44707</v>
      </c>
      <c r="H103" s="1">
        <v>44707</v>
      </c>
      <c r="I103" t="s">
        <v>33</v>
      </c>
      <c r="J103" t="s">
        <v>33</v>
      </c>
      <c r="K103">
        <v>4</v>
      </c>
      <c r="L103" s="1">
        <v>44723</v>
      </c>
      <c r="N103" t="s">
        <v>57</v>
      </c>
      <c r="O103" t="s">
        <v>58</v>
      </c>
      <c r="P103" t="s">
        <v>49</v>
      </c>
      <c r="R103" t="s">
        <v>36</v>
      </c>
      <c r="U103">
        <v>5.79550861457167E-3</v>
      </c>
      <c r="V103">
        <v>1191</v>
      </c>
      <c r="W103">
        <v>16</v>
      </c>
    </row>
    <row r="104" spans="1:31" x14ac:dyDescent="0.45">
      <c r="A104">
        <v>34090</v>
      </c>
      <c r="B104" t="s">
        <v>186</v>
      </c>
      <c r="C104" t="s">
        <v>44</v>
      </c>
      <c r="G104" s="1">
        <v>44683</v>
      </c>
      <c r="H104" s="1">
        <v>44683</v>
      </c>
      <c r="I104" t="s">
        <v>33</v>
      </c>
      <c r="J104" t="s">
        <v>33</v>
      </c>
      <c r="K104">
        <v>4</v>
      </c>
      <c r="L104" s="1">
        <v>44701</v>
      </c>
      <c r="M104" s="1">
        <v>44701</v>
      </c>
      <c r="N104" t="s">
        <v>33</v>
      </c>
      <c r="O104" t="s">
        <v>33</v>
      </c>
      <c r="P104" s="1">
        <v>44740</v>
      </c>
      <c r="R104" t="s">
        <v>71</v>
      </c>
      <c r="U104">
        <v>6.2369834286792698E-3</v>
      </c>
      <c r="V104">
        <v>9333</v>
      </c>
      <c r="W104">
        <v>135</v>
      </c>
      <c r="X104" t="s">
        <v>187</v>
      </c>
      <c r="Y104" s="1">
        <v>44748</v>
      </c>
      <c r="Z104">
        <v>-8</v>
      </c>
      <c r="AA104" s="1">
        <v>44740</v>
      </c>
      <c r="AB104" t="s">
        <v>38</v>
      </c>
      <c r="AC104">
        <v>0</v>
      </c>
      <c r="AD104" s="1">
        <v>44715</v>
      </c>
      <c r="AE104">
        <v>25</v>
      </c>
    </row>
    <row r="105" spans="1:31" x14ac:dyDescent="0.45">
      <c r="A105">
        <v>33985</v>
      </c>
      <c r="B105" t="s">
        <v>188</v>
      </c>
      <c r="C105" t="s">
        <v>32</v>
      </c>
      <c r="G105" s="1">
        <v>44661</v>
      </c>
      <c r="H105" s="1">
        <v>44661</v>
      </c>
      <c r="I105" t="s">
        <v>33</v>
      </c>
      <c r="J105" t="s">
        <v>33</v>
      </c>
      <c r="K105">
        <v>4</v>
      </c>
      <c r="L105" s="1">
        <v>44677</v>
      </c>
      <c r="M105" s="1">
        <v>44677</v>
      </c>
      <c r="N105" t="s">
        <v>33</v>
      </c>
      <c r="O105" t="s">
        <v>33</v>
      </c>
      <c r="P105" s="1">
        <v>44690</v>
      </c>
      <c r="Q105" s="2">
        <v>44694</v>
      </c>
      <c r="R105" t="s">
        <v>38</v>
      </c>
      <c r="S105">
        <v>4</v>
      </c>
      <c r="U105">
        <v>2.1731602343612599E-2</v>
      </c>
      <c r="V105">
        <v>5145</v>
      </c>
      <c r="W105">
        <v>264</v>
      </c>
    </row>
    <row r="106" spans="1:31" x14ac:dyDescent="0.45">
      <c r="A106">
        <v>33985</v>
      </c>
      <c r="B106" t="s">
        <v>189</v>
      </c>
      <c r="C106" t="s">
        <v>32</v>
      </c>
      <c r="G106" s="1">
        <v>44702</v>
      </c>
      <c r="H106" s="1">
        <v>44702</v>
      </c>
      <c r="I106" t="s">
        <v>33</v>
      </c>
      <c r="J106" t="s">
        <v>33</v>
      </c>
      <c r="K106">
        <v>4</v>
      </c>
      <c r="L106" s="1">
        <v>44715</v>
      </c>
      <c r="M106" s="1">
        <v>44715</v>
      </c>
      <c r="N106" t="s">
        <v>33</v>
      </c>
      <c r="O106" t="s">
        <v>33</v>
      </c>
      <c r="P106" s="1">
        <v>44729</v>
      </c>
      <c r="Q106" s="2">
        <v>44729</v>
      </c>
      <c r="R106" t="s">
        <v>38</v>
      </c>
      <c r="S106">
        <v>0</v>
      </c>
      <c r="U106">
        <v>2.1731602343612599E-2</v>
      </c>
      <c r="V106">
        <v>5145</v>
      </c>
      <c r="W106">
        <v>264</v>
      </c>
      <c r="X106" t="s">
        <v>62</v>
      </c>
      <c r="Y106" s="1">
        <v>44729</v>
      </c>
      <c r="Z106" t="s">
        <v>33</v>
      </c>
    </row>
    <row r="107" spans="1:31" x14ac:dyDescent="0.45">
      <c r="A107">
        <v>33984</v>
      </c>
      <c r="B107" t="s">
        <v>190</v>
      </c>
      <c r="C107" t="s">
        <v>123</v>
      </c>
      <c r="E107" t="s">
        <v>4</v>
      </c>
      <c r="G107" s="1">
        <v>44698</v>
      </c>
      <c r="I107" t="s">
        <v>57</v>
      </c>
      <c r="J107" t="s">
        <v>58</v>
      </c>
      <c r="K107">
        <v>4</v>
      </c>
      <c r="L107" s="1">
        <v>44711</v>
      </c>
      <c r="M107" s="1">
        <v>44711</v>
      </c>
      <c r="N107" t="s">
        <v>33</v>
      </c>
      <c r="O107" t="s">
        <v>33</v>
      </c>
      <c r="P107" t="s">
        <v>34</v>
      </c>
      <c r="R107" t="s">
        <v>36</v>
      </c>
      <c r="U107">
        <v>3.97063245259432E-2</v>
      </c>
      <c r="V107">
        <v>2768</v>
      </c>
      <c r="W107">
        <v>265</v>
      </c>
    </row>
    <row r="108" spans="1:31" x14ac:dyDescent="0.45">
      <c r="A108">
        <v>33984</v>
      </c>
      <c r="B108" t="s">
        <v>191</v>
      </c>
      <c r="C108" t="s">
        <v>123</v>
      </c>
      <c r="G108" s="1">
        <v>44719</v>
      </c>
      <c r="H108" s="1">
        <v>44719</v>
      </c>
      <c r="I108" t="s">
        <v>33</v>
      </c>
      <c r="J108" t="s">
        <v>33</v>
      </c>
      <c r="K108">
        <v>4</v>
      </c>
      <c r="L108" t="s">
        <v>34</v>
      </c>
      <c r="N108" t="s">
        <v>35</v>
      </c>
      <c r="P108" s="1">
        <v>44752</v>
      </c>
      <c r="R108" t="s">
        <v>110</v>
      </c>
      <c r="U108">
        <v>3.97063245259432E-2</v>
      </c>
      <c r="V108">
        <v>2768</v>
      </c>
      <c r="W108">
        <v>265</v>
      </c>
    </row>
    <row r="109" spans="1:31" x14ac:dyDescent="0.45">
      <c r="A109">
        <v>33845</v>
      </c>
      <c r="B109" t="s">
        <v>192</v>
      </c>
      <c r="C109" t="s">
        <v>46</v>
      </c>
      <c r="G109" t="s">
        <v>48</v>
      </c>
      <c r="I109" t="s">
        <v>42</v>
      </c>
      <c r="K109">
        <v>4</v>
      </c>
      <c r="L109" t="s">
        <v>48</v>
      </c>
      <c r="N109" t="s">
        <v>35</v>
      </c>
      <c r="P109" s="1">
        <v>44714</v>
      </c>
      <c r="R109" t="s">
        <v>110</v>
      </c>
      <c r="U109">
        <v>4.4580740497934899E-3</v>
      </c>
      <c r="V109">
        <v>4749</v>
      </c>
      <c r="W109">
        <v>49</v>
      </c>
    </row>
    <row r="110" spans="1:31" hidden="1" x14ac:dyDescent="0.45">
      <c r="A110">
        <v>34088</v>
      </c>
      <c r="B110" t="s">
        <v>193</v>
      </c>
      <c r="C110" t="s">
        <v>41</v>
      </c>
      <c r="G110" t="s">
        <v>34</v>
      </c>
      <c r="I110" t="s">
        <v>42</v>
      </c>
      <c r="K110">
        <v>4</v>
      </c>
      <c r="L110" t="s">
        <v>34</v>
      </c>
      <c r="N110" t="s">
        <v>35</v>
      </c>
      <c r="P110" t="s">
        <v>34</v>
      </c>
      <c r="R110" t="s">
        <v>36</v>
      </c>
    </row>
    <row r="111" spans="1:31" x14ac:dyDescent="0.45">
      <c r="A111">
        <v>34087</v>
      </c>
      <c r="B111" t="s">
        <v>194</v>
      </c>
      <c r="C111" t="s">
        <v>44</v>
      </c>
      <c r="E111" t="s">
        <v>4</v>
      </c>
      <c r="G111" s="1">
        <v>44671</v>
      </c>
      <c r="H111" s="1">
        <v>44676</v>
      </c>
      <c r="I111" t="s">
        <v>57</v>
      </c>
      <c r="J111">
        <v>-5</v>
      </c>
      <c r="K111">
        <v>4</v>
      </c>
      <c r="L111" s="1">
        <v>44683</v>
      </c>
      <c r="M111" s="1">
        <v>44683</v>
      </c>
      <c r="N111" t="s">
        <v>33</v>
      </c>
      <c r="O111" t="s">
        <v>33</v>
      </c>
      <c r="P111" s="1">
        <v>44715</v>
      </c>
      <c r="R111" t="s">
        <v>71</v>
      </c>
      <c r="U111" s="3" t="s">
        <v>195</v>
      </c>
      <c r="V111">
        <v>7826</v>
      </c>
      <c r="W111">
        <v>589</v>
      </c>
      <c r="X111" t="s">
        <v>72</v>
      </c>
      <c r="AA111" s="1">
        <v>44719</v>
      </c>
      <c r="AB111" t="s">
        <v>38</v>
      </c>
      <c r="AC111">
        <v>4</v>
      </c>
      <c r="AD111" s="1">
        <v>44719</v>
      </c>
      <c r="AE111">
        <v>-4</v>
      </c>
    </row>
    <row r="112" spans="1:31" x14ac:dyDescent="0.45">
      <c r="A112">
        <v>48459</v>
      </c>
      <c r="B112" t="s">
        <v>196</v>
      </c>
      <c r="C112" t="s">
        <v>52</v>
      </c>
      <c r="G112" s="1">
        <v>45057</v>
      </c>
      <c r="H112" s="1">
        <v>45057</v>
      </c>
      <c r="I112" t="s">
        <v>33</v>
      </c>
      <c r="J112" t="s">
        <v>33</v>
      </c>
      <c r="K112">
        <v>4</v>
      </c>
      <c r="L112" s="1">
        <v>45067</v>
      </c>
      <c r="M112" s="1">
        <v>45067</v>
      </c>
      <c r="N112" t="s">
        <v>33</v>
      </c>
      <c r="O112" t="s">
        <v>33</v>
      </c>
      <c r="P112" s="1">
        <v>45076</v>
      </c>
      <c r="Q112" s="2">
        <v>45076</v>
      </c>
      <c r="R112" t="s">
        <v>38</v>
      </c>
      <c r="S112">
        <v>0</v>
      </c>
      <c r="U112" s="3" t="s">
        <v>197</v>
      </c>
      <c r="V112">
        <v>2062</v>
      </c>
      <c r="W112">
        <v>194</v>
      </c>
    </row>
    <row r="113" spans="1:26" x14ac:dyDescent="0.45">
      <c r="A113">
        <v>48395</v>
      </c>
      <c r="B113" t="s">
        <v>198</v>
      </c>
      <c r="C113" t="s">
        <v>46</v>
      </c>
      <c r="G113" t="s">
        <v>48</v>
      </c>
      <c r="I113" t="s">
        <v>42</v>
      </c>
      <c r="K113">
        <v>4</v>
      </c>
      <c r="L113" s="1">
        <v>45047</v>
      </c>
      <c r="M113" s="1">
        <v>45047</v>
      </c>
      <c r="N113" t="s">
        <v>33</v>
      </c>
      <c r="O113" t="s">
        <v>33</v>
      </c>
      <c r="P113" s="1">
        <v>45135</v>
      </c>
      <c r="Q113" s="2">
        <v>45061</v>
      </c>
      <c r="R113" t="s">
        <v>38</v>
      </c>
      <c r="S113">
        <v>-74</v>
      </c>
      <c r="U113">
        <v>1.1296944898111399E-2</v>
      </c>
      <c r="V113">
        <v>8386</v>
      </c>
      <c r="W113">
        <v>221</v>
      </c>
    </row>
    <row r="114" spans="1:26" x14ac:dyDescent="0.45">
      <c r="A114">
        <v>48455</v>
      </c>
      <c r="B114" t="s">
        <v>199</v>
      </c>
      <c r="C114" t="s">
        <v>52</v>
      </c>
      <c r="G114" s="1">
        <v>45123</v>
      </c>
      <c r="I114" t="s">
        <v>57</v>
      </c>
      <c r="J114" t="s">
        <v>58</v>
      </c>
      <c r="K114">
        <v>4</v>
      </c>
      <c r="L114" s="1">
        <v>45134</v>
      </c>
      <c r="M114" s="1">
        <v>45134</v>
      </c>
      <c r="N114" t="s">
        <v>33</v>
      </c>
      <c r="O114" t="s">
        <v>33</v>
      </c>
      <c r="P114" t="s">
        <v>49</v>
      </c>
      <c r="R114" t="s">
        <v>36</v>
      </c>
      <c r="U114">
        <v>6.3809333215309003E-2</v>
      </c>
      <c r="V114">
        <v>1548</v>
      </c>
      <c r="W114">
        <v>245</v>
      </c>
    </row>
    <row r="115" spans="1:26" x14ac:dyDescent="0.45">
      <c r="A115">
        <v>58629</v>
      </c>
      <c r="B115" t="s">
        <v>200</v>
      </c>
      <c r="C115" t="s">
        <v>52</v>
      </c>
      <c r="G115" s="1">
        <v>45097</v>
      </c>
      <c r="H115" s="1">
        <v>45097</v>
      </c>
      <c r="I115" t="s">
        <v>33</v>
      </c>
      <c r="J115" t="s">
        <v>33</v>
      </c>
      <c r="K115">
        <v>4</v>
      </c>
      <c r="L115" s="1">
        <v>45106</v>
      </c>
      <c r="M115" s="1">
        <v>45106</v>
      </c>
      <c r="N115" t="s">
        <v>33</v>
      </c>
      <c r="O115" t="s">
        <v>33</v>
      </c>
      <c r="P115" s="1">
        <v>45131</v>
      </c>
      <c r="Q115" s="2">
        <v>45131</v>
      </c>
      <c r="R115" t="s">
        <v>38</v>
      </c>
      <c r="S115">
        <v>0</v>
      </c>
      <c r="U115">
        <v>4.4578402866182601E-2</v>
      </c>
      <c r="V115">
        <v>2840</v>
      </c>
      <c r="W115">
        <v>307</v>
      </c>
    </row>
    <row r="116" spans="1:26" x14ac:dyDescent="0.45">
      <c r="A116">
        <v>48473</v>
      </c>
      <c r="B116" t="s">
        <v>201</v>
      </c>
      <c r="C116" t="s">
        <v>52</v>
      </c>
      <c r="G116" s="1">
        <v>45090</v>
      </c>
      <c r="H116" s="1">
        <v>45090</v>
      </c>
      <c r="I116" t="s">
        <v>33</v>
      </c>
      <c r="J116" t="s">
        <v>33</v>
      </c>
      <c r="K116">
        <v>4</v>
      </c>
      <c r="L116" s="1">
        <v>45100</v>
      </c>
      <c r="M116" s="1">
        <v>45100</v>
      </c>
      <c r="N116" t="s">
        <v>33</v>
      </c>
      <c r="O116" t="s">
        <v>33</v>
      </c>
      <c r="P116" s="1">
        <v>45107</v>
      </c>
      <c r="R116" t="s">
        <v>69</v>
      </c>
      <c r="U116" s="3" t="s">
        <v>202</v>
      </c>
      <c r="V116">
        <v>1046</v>
      </c>
      <c r="W116">
        <v>137</v>
      </c>
    </row>
    <row r="117" spans="1:26" x14ac:dyDescent="0.45">
      <c r="A117">
        <v>48474</v>
      </c>
      <c r="B117" t="s">
        <v>203</v>
      </c>
      <c r="C117" t="s">
        <v>52</v>
      </c>
      <c r="G117" s="1">
        <v>45088</v>
      </c>
      <c r="H117" s="1">
        <v>45088</v>
      </c>
      <c r="I117" t="s">
        <v>33</v>
      </c>
      <c r="J117" t="s">
        <v>33</v>
      </c>
      <c r="K117">
        <v>4</v>
      </c>
      <c r="L117" s="1">
        <v>45102</v>
      </c>
      <c r="M117" s="1">
        <v>45102</v>
      </c>
      <c r="N117" t="s">
        <v>33</v>
      </c>
      <c r="O117" t="s">
        <v>33</v>
      </c>
      <c r="P117" s="1">
        <v>45108</v>
      </c>
      <c r="Q117" s="2">
        <v>45108</v>
      </c>
      <c r="R117" t="s">
        <v>38</v>
      </c>
      <c r="S117">
        <v>0</v>
      </c>
      <c r="U117" s="3" t="s">
        <v>204</v>
      </c>
      <c r="V117">
        <v>1330</v>
      </c>
      <c r="W117">
        <v>35</v>
      </c>
    </row>
    <row r="118" spans="1:26" x14ac:dyDescent="0.45">
      <c r="A118">
        <v>48477</v>
      </c>
      <c r="B118" t="s">
        <v>205</v>
      </c>
      <c r="C118" t="s">
        <v>52</v>
      </c>
      <c r="G118" s="1">
        <v>45095</v>
      </c>
      <c r="H118" s="1">
        <v>45095</v>
      </c>
      <c r="I118" t="s">
        <v>33</v>
      </c>
      <c r="J118" t="s">
        <v>33</v>
      </c>
      <c r="K118">
        <v>4</v>
      </c>
      <c r="L118" s="1">
        <v>45105</v>
      </c>
      <c r="M118" s="1">
        <v>45105</v>
      </c>
      <c r="N118" t="s">
        <v>33</v>
      </c>
      <c r="O118" t="s">
        <v>33</v>
      </c>
      <c r="P118" t="s">
        <v>49</v>
      </c>
      <c r="R118" t="s">
        <v>36</v>
      </c>
      <c r="U118" s="3" t="s">
        <v>206</v>
      </c>
      <c r="V118">
        <v>1183</v>
      </c>
      <c r="W118">
        <v>398</v>
      </c>
    </row>
    <row r="119" spans="1:26" x14ac:dyDescent="0.45">
      <c r="A119">
        <v>48476</v>
      </c>
      <c r="B119" t="s">
        <v>207</v>
      </c>
      <c r="C119" t="s">
        <v>52</v>
      </c>
      <c r="G119" s="1">
        <v>45105</v>
      </c>
      <c r="H119" s="1">
        <v>45105</v>
      </c>
      <c r="I119" t="s">
        <v>33</v>
      </c>
      <c r="J119" t="s">
        <v>33</v>
      </c>
      <c r="K119">
        <v>4</v>
      </c>
      <c r="L119" s="1">
        <v>45114</v>
      </c>
      <c r="M119" s="1">
        <v>45114</v>
      </c>
      <c r="N119" t="s">
        <v>33</v>
      </c>
      <c r="O119" t="s">
        <v>33</v>
      </c>
      <c r="P119" s="1">
        <v>45130</v>
      </c>
      <c r="R119" t="s">
        <v>69</v>
      </c>
      <c r="U119" s="3" t="s">
        <v>208</v>
      </c>
      <c r="V119">
        <v>1473</v>
      </c>
      <c r="W119">
        <v>483</v>
      </c>
    </row>
    <row r="120" spans="1:26" hidden="1" x14ac:dyDescent="0.45">
      <c r="A120">
        <v>48472</v>
      </c>
      <c r="B120" t="s">
        <v>209</v>
      </c>
      <c r="C120" t="s">
        <v>119</v>
      </c>
      <c r="G120" t="s">
        <v>34</v>
      </c>
      <c r="I120" t="s">
        <v>42</v>
      </c>
      <c r="K120">
        <v>4</v>
      </c>
      <c r="L120" t="s">
        <v>34</v>
      </c>
      <c r="N120" t="s">
        <v>35</v>
      </c>
      <c r="P120" t="s">
        <v>34</v>
      </c>
      <c r="R120" t="s">
        <v>36</v>
      </c>
    </row>
    <row r="121" spans="1:26" hidden="1" x14ac:dyDescent="0.45">
      <c r="A121">
        <v>48454</v>
      </c>
      <c r="B121" t="s">
        <v>210</v>
      </c>
      <c r="C121" t="s">
        <v>119</v>
      </c>
      <c r="G121" t="s">
        <v>34</v>
      </c>
      <c r="I121" t="s">
        <v>42</v>
      </c>
      <c r="K121">
        <v>4</v>
      </c>
      <c r="L121" t="s">
        <v>34</v>
      </c>
      <c r="N121" t="s">
        <v>35</v>
      </c>
      <c r="P121" t="s">
        <v>34</v>
      </c>
      <c r="R121" t="s">
        <v>36</v>
      </c>
    </row>
    <row r="122" spans="1:26" hidden="1" x14ac:dyDescent="0.45">
      <c r="A122">
        <v>48877</v>
      </c>
      <c r="B122" t="s">
        <v>211</v>
      </c>
      <c r="C122" t="s">
        <v>119</v>
      </c>
      <c r="G122" t="s">
        <v>34</v>
      </c>
      <c r="I122" t="s">
        <v>42</v>
      </c>
      <c r="K122">
        <v>4</v>
      </c>
      <c r="L122" t="s">
        <v>34</v>
      </c>
      <c r="N122" t="s">
        <v>35</v>
      </c>
      <c r="P122" t="s">
        <v>34</v>
      </c>
      <c r="R122" t="s">
        <v>36</v>
      </c>
    </row>
    <row r="123" spans="1:26" hidden="1" x14ac:dyDescent="0.45">
      <c r="A123">
        <v>48462</v>
      </c>
      <c r="B123" t="s">
        <v>212</v>
      </c>
      <c r="C123" t="s">
        <v>52</v>
      </c>
      <c r="E123" t="s">
        <v>4</v>
      </c>
      <c r="G123" s="1">
        <v>45064</v>
      </c>
      <c r="I123" t="s">
        <v>57</v>
      </c>
      <c r="J123" t="s">
        <v>58</v>
      </c>
      <c r="K123">
        <v>4</v>
      </c>
      <c r="L123" t="s">
        <v>34</v>
      </c>
      <c r="N123" t="s">
        <v>35</v>
      </c>
      <c r="P123" t="s">
        <v>34</v>
      </c>
      <c r="R123" t="s">
        <v>36</v>
      </c>
    </row>
    <row r="124" spans="1:26" x14ac:dyDescent="0.45">
      <c r="A124">
        <v>48463</v>
      </c>
      <c r="B124" t="s">
        <v>213</v>
      </c>
      <c r="C124" t="s">
        <v>32</v>
      </c>
      <c r="G124" s="1">
        <v>45083</v>
      </c>
      <c r="H124" s="1">
        <v>45083</v>
      </c>
      <c r="I124" t="s">
        <v>33</v>
      </c>
      <c r="J124" t="s">
        <v>33</v>
      </c>
      <c r="K124">
        <v>4</v>
      </c>
      <c r="L124" s="1">
        <v>45090</v>
      </c>
      <c r="M124" s="1">
        <v>45090</v>
      </c>
      <c r="N124" t="s">
        <v>33</v>
      </c>
      <c r="O124" t="s">
        <v>33</v>
      </c>
      <c r="P124" s="1">
        <v>45113</v>
      </c>
      <c r="R124" t="s">
        <v>69</v>
      </c>
      <c r="U124" s="3" t="s">
        <v>214</v>
      </c>
      <c r="V124">
        <v>1977</v>
      </c>
      <c r="W124">
        <v>683</v>
      </c>
    </row>
    <row r="125" spans="1:26" x14ac:dyDescent="0.45">
      <c r="A125">
        <v>48463</v>
      </c>
      <c r="B125" t="s">
        <v>215</v>
      </c>
      <c r="C125" t="s">
        <v>32</v>
      </c>
      <c r="G125" t="s">
        <v>49</v>
      </c>
      <c r="I125" t="s">
        <v>42</v>
      </c>
      <c r="K125">
        <v>4</v>
      </c>
      <c r="L125" t="s">
        <v>49</v>
      </c>
      <c r="N125" t="s">
        <v>35</v>
      </c>
      <c r="P125" t="s">
        <v>49</v>
      </c>
      <c r="R125" t="s">
        <v>36</v>
      </c>
      <c r="U125" s="3" t="s">
        <v>214</v>
      </c>
      <c r="V125">
        <v>1977</v>
      </c>
      <c r="W125">
        <v>683</v>
      </c>
    </row>
    <row r="126" spans="1:26" x14ac:dyDescent="0.45">
      <c r="A126">
        <v>48468</v>
      </c>
      <c r="B126" t="s">
        <v>216</v>
      </c>
      <c r="C126" t="s">
        <v>52</v>
      </c>
      <c r="F126" t="s">
        <v>217</v>
      </c>
      <c r="G126" s="1">
        <v>45083</v>
      </c>
      <c r="H126" s="1">
        <v>45083</v>
      </c>
      <c r="I126" t="s">
        <v>33</v>
      </c>
      <c r="J126" t="s">
        <v>33</v>
      </c>
      <c r="K126">
        <v>4</v>
      </c>
      <c r="L126" s="1">
        <v>45088</v>
      </c>
      <c r="M126" s="1">
        <v>45088</v>
      </c>
      <c r="N126" t="s">
        <v>33</v>
      </c>
      <c r="O126" t="s">
        <v>33</v>
      </c>
      <c r="P126" s="1">
        <v>45112</v>
      </c>
      <c r="R126" t="s">
        <v>69</v>
      </c>
      <c r="U126" s="3" t="s">
        <v>218</v>
      </c>
      <c r="V126">
        <v>1978</v>
      </c>
      <c r="W126">
        <v>697</v>
      </c>
    </row>
    <row r="127" spans="1:26" x14ac:dyDescent="0.45">
      <c r="A127">
        <v>48457</v>
      </c>
      <c r="B127" t="s">
        <v>219</v>
      </c>
      <c r="C127" t="s">
        <v>52</v>
      </c>
      <c r="E127" t="s">
        <v>4</v>
      </c>
      <c r="G127" t="s">
        <v>48</v>
      </c>
      <c r="I127" t="s">
        <v>42</v>
      </c>
      <c r="K127">
        <v>4</v>
      </c>
      <c r="L127" s="1">
        <v>45077</v>
      </c>
      <c r="N127" t="s">
        <v>57</v>
      </c>
      <c r="O127" t="s">
        <v>58</v>
      </c>
      <c r="P127" s="1">
        <v>45086</v>
      </c>
      <c r="R127" t="s">
        <v>61</v>
      </c>
      <c r="U127">
        <v>4.3127558847373302E-4</v>
      </c>
      <c r="V127">
        <v>6039</v>
      </c>
      <c r="W127">
        <v>6</v>
      </c>
      <c r="X127" t="s">
        <v>62</v>
      </c>
      <c r="Y127" s="1">
        <v>45086</v>
      </c>
      <c r="Z127" t="s">
        <v>33</v>
      </c>
    </row>
    <row r="128" spans="1:26" x14ac:dyDescent="0.45">
      <c r="A128">
        <v>48434</v>
      </c>
      <c r="B128" t="s">
        <v>220</v>
      </c>
      <c r="C128" t="s">
        <v>44</v>
      </c>
      <c r="G128" s="1">
        <v>45042</v>
      </c>
      <c r="H128" s="1">
        <v>45042</v>
      </c>
      <c r="I128" t="s">
        <v>33</v>
      </c>
      <c r="J128" t="s">
        <v>33</v>
      </c>
      <c r="K128">
        <v>4</v>
      </c>
      <c r="L128" s="1">
        <v>45058</v>
      </c>
      <c r="M128" s="1">
        <v>45058</v>
      </c>
      <c r="N128" t="s">
        <v>33</v>
      </c>
      <c r="O128" t="s">
        <v>33</v>
      </c>
      <c r="P128" t="s">
        <v>49</v>
      </c>
      <c r="R128" t="s">
        <v>36</v>
      </c>
      <c r="U128">
        <v>2.8461072547750599E-2</v>
      </c>
      <c r="V128">
        <v>753</v>
      </c>
      <c r="W128">
        <v>51</v>
      </c>
    </row>
    <row r="129" spans="1:23" hidden="1" x14ac:dyDescent="0.45">
      <c r="A129">
        <v>48467</v>
      </c>
      <c r="B129" t="s">
        <v>221</v>
      </c>
      <c r="C129" t="s">
        <v>119</v>
      </c>
      <c r="G129" t="s">
        <v>34</v>
      </c>
      <c r="I129" t="s">
        <v>42</v>
      </c>
      <c r="K129">
        <v>4</v>
      </c>
      <c r="L129" t="s">
        <v>34</v>
      </c>
      <c r="N129" t="s">
        <v>35</v>
      </c>
      <c r="P129" t="s">
        <v>34</v>
      </c>
      <c r="R129" t="s">
        <v>36</v>
      </c>
    </row>
    <row r="130" spans="1:23" x14ac:dyDescent="0.45">
      <c r="A130">
        <v>48470</v>
      </c>
      <c r="B130" t="s">
        <v>222</v>
      </c>
      <c r="C130" t="s">
        <v>32</v>
      </c>
      <c r="G130" s="1">
        <v>45085</v>
      </c>
      <c r="H130" s="1">
        <v>45085</v>
      </c>
      <c r="I130" t="s">
        <v>33</v>
      </c>
      <c r="J130" t="s">
        <v>33</v>
      </c>
      <c r="K130">
        <v>4</v>
      </c>
      <c r="L130" s="1">
        <v>45097</v>
      </c>
      <c r="M130" s="1">
        <v>45097</v>
      </c>
      <c r="N130" t="s">
        <v>33</v>
      </c>
      <c r="O130" t="s">
        <v>33</v>
      </c>
      <c r="P130" s="1">
        <v>45113</v>
      </c>
      <c r="Q130" s="2">
        <v>45113</v>
      </c>
      <c r="R130" t="s">
        <v>38</v>
      </c>
      <c r="S130">
        <v>0</v>
      </c>
      <c r="U130">
        <v>5.6537635771867198E-2</v>
      </c>
      <c r="V130">
        <v>5646</v>
      </c>
      <c r="W130">
        <v>785</v>
      </c>
    </row>
    <row r="131" spans="1:23" x14ac:dyDescent="0.45">
      <c r="A131">
        <v>48470</v>
      </c>
      <c r="B131" t="s">
        <v>223</v>
      </c>
      <c r="C131" t="s">
        <v>32</v>
      </c>
      <c r="G131" s="1">
        <v>45112</v>
      </c>
      <c r="H131" s="1">
        <v>45112</v>
      </c>
      <c r="I131" t="s">
        <v>33</v>
      </c>
      <c r="J131" t="s">
        <v>33</v>
      </c>
      <c r="K131">
        <v>4</v>
      </c>
      <c r="L131" s="1">
        <v>45126</v>
      </c>
      <c r="M131" s="1">
        <v>45126</v>
      </c>
      <c r="N131" t="s">
        <v>33</v>
      </c>
      <c r="O131" t="s">
        <v>33</v>
      </c>
      <c r="P131" s="1">
        <v>45145</v>
      </c>
      <c r="R131" t="s">
        <v>69</v>
      </c>
      <c r="U131">
        <v>5.6537635771867198E-2</v>
      </c>
      <c r="V131">
        <v>5646</v>
      </c>
      <c r="W131">
        <v>785</v>
      </c>
    </row>
    <row r="132" spans="1:23" x14ac:dyDescent="0.45">
      <c r="A132">
        <v>48465</v>
      </c>
      <c r="B132" t="s">
        <v>224</v>
      </c>
      <c r="C132" t="s">
        <v>52</v>
      </c>
      <c r="G132" s="1">
        <v>45063</v>
      </c>
      <c r="H132" s="1">
        <v>45063</v>
      </c>
      <c r="I132" t="s">
        <v>33</v>
      </c>
      <c r="J132" t="s">
        <v>33</v>
      </c>
      <c r="K132">
        <v>4</v>
      </c>
      <c r="L132" s="1">
        <v>45072</v>
      </c>
      <c r="M132" s="1">
        <v>45072</v>
      </c>
      <c r="N132" t="s">
        <v>33</v>
      </c>
      <c r="O132" t="s">
        <v>33</v>
      </c>
      <c r="P132" s="1">
        <v>45078</v>
      </c>
      <c r="Q132" s="2">
        <v>45083</v>
      </c>
      <c r="R132" t="s">
        <v>38</v>
      </c>
      <c r="S132">
        <v>5</v>
      </c>
      <c r="U132">
        <v>4.2664412221862298E-2</v>
      </c>
      <c r="V132">
        <v>1705</v>
      </c>
      <c r="W132">
        <v>176</v>
      </c>
    </row>
    <row r="133" spans="1:23" x14ac:dyDescent="0.45">
      <c r="A133">
        <v>48747</v>
      </c>
      <c r="B133" t="s">
        <v>225</v>
      </c>
      <c r="C133" t="s">
        <v>115</v>
      </c>
      <c r="D133" t="s">
        <v>226</v>
      </c>
      <c r="G133" s="1">
        <v>45049</v>
      </c>
      <c r="H133" s="1">
        <v>45049</v>
      </c>
      <c r="I133" t="s">
        <v>33</v>
      </c>
      <c r="J133" t="s">
        <v>33</v>
      </c>
      <c r="K133">
        <v>4</v>
      </c>
      <c r="L133" s="1">
        <v>45068</v>
      </c>
      <c r="M133" s="1">
        <v>45068</v>
      </c>
      <c r="N133" t="s">
        <v>33</v>
      </c>
      <c r="O133" t="s">
        <v>33</v>
      </c>
      <c r="P133" s="1">
        <v>45091</v>
      </c>
      <c r="R133" t="s">
        <v>69</v>
      </c>
      <c r="U133" s="3" t="s">
        <v>227</v>
      </c>
      <c r="V133">
        <v>2559</v>
      </c>
      <c r="W133">
        <v>741</v>
      </c>
    </row>
    <row r="134" spans="1:23" x14ac:dyDescent="0.45">
      <c r="A134">
        <v>48747</v>
      </c>
      <c r="B134" t="s">
        <v>228</v>
      </c>
      <c r="C134" t="s">
        <v>115</v>
      </c>
      <c r="D134" t="s">
        <v>226</v>
      </c>
      <c r="G134" t="s">
        <v>34</v>
      </c>
      <c r="I134" t="s">
        <v>42</v>
      </c>
      <c r="K134">
        <v>4</v>
      </c>
      <c r="L134" t="s">
        <v>34</v>
      </c>
      <c r="N134" t="s">
        <v>35</v>
      </c>
      <c r="P134" t="s">
        <v>34</v>
      </c>
      <c r="R134" t="s">
        <v>36</v>
      </c>
      <c r="U134" s="3" t="s">
        <v>227</v>
      </c>
      <c r="V134">
        <v>2559</v>
      </c>
      <c r="W134">
        <v>741</v>
      </c>
    </row>
    <row r="135" spans="1:23" x14ac:dyDescent="0.45">
      <c r="A135">
        <v>48747</v>
      </c>
      <c r="B135" t="s">
        <v>229</v>
      </c>
      <c r="C135" t="s">
        <v>115</v>
      </c>
      <c r="D135" t="s">
        <v>226</v>
      </c>
      <c r="G135" t="s">
        <v>34</v>
      </c>
      <c r="I135" t="s">
        <v>42</v>
      </c>
      <c r="K135">
        <v>4</v>
      </c>
      <c r="L135" t="s">
        <v>34</v>
      </c>
      <c r="N135" t="s">
        <v>35</v>
      </c>
      <c r="P135" t="s">
        <v>34</v>
      </c>
      <c r="R135" t="s">
        <v>36</v>
      </c>
      <c r="U135" s="3" t="s">
        <v>227</v>
      </c>
      <c r="V135">
        <v>2559</v>
      </c>
      <c r="W135">
        <v>741</v>
      </c>
    </row>
    <row r="136" spans="1:23" x14ac:dyDescent="0.45">
      <c r="A136">
        <v>48747</v>
      </c>
      <c r="B136" t="s">
        <v>230</v>
      </c>
      <c r="C136" t="s">
        <v>115</v>
      </c>
      <c r="D136" t="s">
        <v>226</v>
      </c>
      <c r="G136" t="s">
        <v>34</v>
      </c>
      <c r="I136" t="s">
        <v>42</v>
      </c>
      <c r="K136">
        <v>4</v>
      </c>
      <c r="L136" t="s">
        <v>34</v>
      </c>
      <c r="N136" t="s">
        <v>35</v>
      </c>
      <c r="P136" t="s">
        <v>34</v>
      </c>
      <c r="R136" t="s">
        <v>36</v>
      </c>
      <c r="U136" s="3" t="s">
        <v>227</v>
      </c>
      <c r="V136">
        <v>2559</v>
      </c>
      <c r="W136">
        <v>741</v>
      </c>
    </row>
    <row r="137" spans="1:23" x14ac:dyDescent="0.45">
      <c r="A137">
        <v>48458</v>
      </c>
      <c r="B137" t="s">
        <v>231</v>
      </c>
      <c r="C137" t="s">
        <v>32</v>
      </c>
      <c r="F137" t="s">
        <v>232</v>
      </c>
      <c r="G137" s="1">
        <v>45065</v>
      </c>
      <c r="H137" s="1">
        <v>45065</v>
      </c>
      <c r="I137" t="s">
        <v>33</v>
      </c>
      <c r="J137" t="s">
        <v>33</v>
      </c>
      <c r="K137">
        <v>4</v>
      </c>
      <c r="L137" s="1">
        <v>45071</v>
      </c>
      <c r="M137" s="1">
        <v>45071</v>
      </c>
      <c r="N137" t="s">
        <v>33</v>
      </c>
      <c r="O137" t="s">
        <v>33</v>
      </c>
      <c r="P137" s="1">
        <v>45083</v>
      </c>
      <c r="Q137" s="2">
        <v>45085</v>
      </c>
      <c r="R137" t="s">
        <v>38</v>
      </c>
      <c r="S137">
        <v>2</v>
      </c>
      <c r="U137" s="3" t="s">
        <v>233</v>
      </c>
      <c r="V137">
        <v>1844</v>
      </c>
      <c r="W137">
        <v>483</v>
      </c>
    </row>
    <row r="138" spans="1:23" x14ac:dyDescent="0.45">
      <c r="A138">
        <v>48458</v>
      </c>
      <c r="B138" t="s">
        <v>234</v>
      </c>
      <c r="C138" t="s">
        <v>32</v>
      </c>
      <c r="F138" t="s">
        <v>232</v>
      </c>
      <c r="G138" t="s">
        <v>34</v>
      </c>
      <c r="I138" t="s">
        <v>42</v>
      </c>
      <c r="K138">
        <v>4</v>
      </c>
      <c r="L138" t="s">
        <v>34</v>
      </c>
      <c r="N138" t="s">
        <v>35</v>
      </c>
      <c r="P138" t="s">
        <v>34</v>
      </c>
      <c r="R138" t="s">
        <v>36</v>
      </c>
      <c r="U138" s="3" t="s">
        <v>233</v>
      </c>
      <c r="V138">
        <v>1844</v>
      </c>
      <c r="W138">
        <v>483</v>
      </c>
    </row>
    <row r="139" spans="1:23" x14ac:dyDescent="0.45">
      <c r="A139">
        <v>48428</v>
      </c>
      <c r="B139" t="s">
        <v>235</v>
      </c>
      <c r="C139" t="s">
        <v>52</v>
      </c>
      <c r="G139" s="1">
        <v>45042</v>
      </c>
      <c r="H139" s="1">
        <v>45042</v>
      </c>
      <c r="I139" t="s">
        <v>33</v>
      </c>
      <c r="J139" t="s">
        <v>33</v>
      </c>
      <c r="K139">
        <v>4</v>
      </c>
      <c r="L139" t="s">
        <v>34</v>
      </c>
      <c r="N139" t="s">
        <v>35</v>
      </c>
      <c r="P139" t="s">
        <v>34</v>
      </c>
      <c r="R139" t="s">
        <v>36</v>
      </c>
      <c r="U139">
        <v>5.7478504952505304E-3</v>
      </c>
      <c r="V139">
        <v>2552</v>
      </c>
      <c r="W139">
        <v>34</v>
      </c>
    </row>
    <row r="140" spans="1:23" x14ac:dyDescent="0.45">
      <c r="A140">
        <v>48444</v>
      </c>
      <c r="B140" t="s">
        <v>236</v>
      </c>
      <c r="C140" t="s">
        <v>32</v>
      </c>
      <c r="G140" s="1">
        <v>45044</v>
      </c>
      <c r="H140" s="1">
        <v>45044</v>
      </c>
      <c r="I140" t="s">
        <v>33</v>
      </c>
      <c r="J140" t="s">
        <v>33</v>
      </c>
      <c r="K140">
        <v>4</v>
      </c>
      <c r="L140" s="1">
        <v>45052</v>
      </c>
      <c r="M140" s="1">
        <v>45052</v>
      </c>
      <c r="N140" t="s">
        <v>33</v>
      </c>
      <c r="O140" t="s">
        <v>33</v>
      </c>
      <c r="P140" s="1">
        <v>45091</v>
      </c>
      <c r="R140" t="s">
        <v>71</v>
      </c>
      <c r="U140">
        <v>9.17770488013121E-2</v>
      </c>
      <c r="V140">
        <v>6196</v>
      </c>
      <c r="W140">
        <v>1458</v>
      </c>
    </row>
    <row r="141" spans="1:23" x14ac:dyDescent="0.45">
      <c r="A141">
        <v>48444</v>
      </c>
      <c r="B141" t="s">
        <v>237</v>
      </c>
      <c r="C141" t="s">
        <v>32</v>
      </c>
      <c r="G141" s="1">
        <v>45092</v>
      </c>
      <c r="H141" s="1">
        <v>45092</v>
      </c>
      <c r="I141" t="s">
        <v>33</v>
      </c>
      <c r="J141" t="s">
        <v>33</v>
      </c>
      <c r="K141">
        <v>4</v>
      </c>
      <c r="L141" s="1">
        <v>45103</v>
      </c>
      <c r="M141" s="1">
        <v>45103</v>
      </c>
      <c r="N141" t="s">
        <v>33</v>
      </c>
      <c r="O141" t="s">
        <v>33</v>
      </c>
      <c r="P141" s="1">
        <v>45124</v>
      </c>
      <c r="Q141" s="2">
        <v>45124</v>
      </c>
      <c r="R141" t="s">
        <v>38</v>
      </c>
      <c r="S141">
        <v>0</v>
      </c>
      <c r="U141">
        <v>9.17770488013121E-2</v>
      </c>
      <c r="V141">
        <v>6196</v>
      </c>
      <c r="W141">
        <v>1458</v>
      </c>
    </row>
    <row r="142" spans="1:23" x14ac:dyDescent="0.45">
      <c r="A142">
        <v>48436</v>
      </c>
      <c r="B142" t="s">
        <v>238</v>
      </c>
      <c r="C142" t="s">
        <v>52</v>
      </c>
      <c r="G142" s="1">
        <v>45077</v>
      </c>
      <c r="H142" s="1">
        <v>45077</v>
      </c>
      <c r="I142" t="s">
        <v>33</v>
      </c>
      <c r="J142" t="s">
        <v>33</v>
      </c>
      <c r="K142">
        <v>4</v>
      </c>
      <c r="L142" s="1">
        <v>45090</v>
      </c>
      <c r="M142" s="1">
        <v>45090</v>
      </c>
      <c r="N142" t="s">
        <v>33</v>
      </c>
      <c r="O142" t="s">
        <v>33</v>
      </c>
      <c r="P142" t="s">
        <v>49</v>
      </c>
      <c r="R142" t="s">
        <v>36</v>
      </c>
      <c r="U142" s="3" t="s">
        <v>239</v>
      </c>
      <c r="V142">
        <v>2475</v>
      </c>
      <c r="W142">
        <v>239</v>
      </c>
    </row>
    <row r="143" spans="1:23" x14ac:dyDescent="0.45">
      <c r="A143">
        <v>48446</v>
      </c>
      <c r="B143" t="s">
        <v>240</v>
      </c>
      <c r="C143" t="s">
        <v>32</v>
      </c>
      <c r="G143" t="s">
        <v>48</v>
      </c>
      <c r="I143" t="s">
        <v>42</v>
      </c>
      <c r="K143">
        <v>4</v>
      </c>
      <c r="L143" t="s">
        <v>48</v>
      </c>
      <c r="N143" t="s">
        <v>35</v>
      </c>
      <c r="P143" s="1">
        <v>45076</v>
      </c>
      <c r="R143" t="s">
        <v>110</v>
      </c>
      <c r="U143">
        <v>5.76688192016361E-2</v>
      </c>
      <c r="V143">
        <v>2521</v>
      </c>
      <c r="W143">
        <v>358</v>
      </c>
    </row>
    <row r="144" spans="1:23" x14ac:dyDescent="0.45">
      <c r="A144">
        <v>48446</v>
      </c>
      <c r="B144" t="s">
        <v>241</v>
      </c>
      <c r="C144" t="s">
        <v>32</v>
      </c>
      <c r="E144" t="s">
        <v>4</v>
      </c>
      <c r="G144" s="1">
        <v>45071</v>
      </c>
      <c r="H144" s="1">
        <v>45075</v>
      </c>
      <c r="I144" t="s">
        <v>57</v>
      </c>
      <c r="J144">
        <v>-4</v>
      </c>
      <c r="K144">
        <v>4</v>
      </c>
      <c r="L144" s="1">
        <v>45081</v>
      </c>
      <c r="N144" t="s">
        <v>57</v>
      </c>
      <c r="O144" t="s">
        <v>58</v>
      </c>
      <c r="P144" t="s">
        <v>49</v>
      </c>
      <c r="R144" t="s">
        <v>36</v>
      </c>
      <c r="U144">
        <v>5.76688192016361E-2</v>
      </c>
      <c r="V144">
        <v>2521</v>
      </c>
      <c r="W144">
        <v>358</v>
      </c>
    </row>
    <row r="145" spans="1:31" hidden="1" x14ac:dyDescent="0.45">
      <c r="A145">
        <v>48490</v>
      </c>
      <c r="B145" t="s">
        <v>242</v>
      </c>
      <c r="C145" t="s">
        <v>52</v>
      </c>
      <c r="G145" s="1">
        <v>45077</v>
      </c>
      <c r="H145" s="1">
        <v>45077</v>
      </c>
      <c r="I145" t="s">
        <v>33</v>
      </c>
      <c r="J145" t="s">
        <v>33</v>
      </c>
      <c r="K145">
        <v>4</v>
      </c>
      <c r="L145" t="s">
        <v>34</v>
      </c>
      <c r="N145" t="s">
        <v>35</v>
      </c>
      <c r="P145" t="s">
        <v>34</v>
      </c>
      <c r="R145" t="s">
        <v>36</v>
      </c>
    </row>
    <row r="146" spans="1:31" x14ac:dyDescent="0.45">
      <c r="A146">
        <v>48448</v>
      </c>
      <c r="B146" t="s">
        <v>243</v>
      </c>
      <c r="C146" t="s">
        <v>52</v>
      </c>
      <c r="G146" s="1">
        <v>45051</v>
      </c>
      <c r="H146" s="1">
        <v>45051</v>
      </c>
      <c r="I146" t="s">
        <v>33</v>
      </c>
      <c r="J146" t="s">
        <v>33</v>
      </c>
      <c r="K146">
        <v>4</v>
      </c>
      <c r="L146" s="1">
        <v>45061</v>
      </c>
      <c r="M146" s="1">
        <v>45061</v>
      </c>
      <c r="N146" t="s">
        <v>33</v>
      </c>
      <c r="O146" t="s">
        <v>33</v>
      </c>
      <c r="P146" t="s">
        <v>49</v>
      </c>
      <c r="R146" t="s">
        <v>36</v>
      </c>
      <c r="U146" s="3" t="s">
        <v>244</v>
      </c>
      <c r="V146">
        <v>1323</v>
      </c>
      <c r="W146">
        <v>126</v>
      </c>
    </row>
    <row r="147" spans="1:31" x14ac:dyDescent="0.45">
      <c r="A147">
        <v>48397</v>
      </c>
      <c r="B147" t="s">
        <v>245</v>
      </c>
      <c r="C147" t="s">
        <v>52</v>
      </c>
      <c r="E147" t="s">
        <v>4</v>
      </c>
      <c r="G147" s="1">
        <v>45065</v>
      </c>
      <c r="H147" s="1">
        <v>45065</v>
      </c>
      <c r="I147" t="s">
        <v>33</v>
      </c>
      <c r="J147" t="s">
        <v>33</v>
      </c>
      <c r="K147">
        <v>4</v>
      </c>
      <c r="L147" s="1">
        <v>45080</v>
      </c>
      <c r="M147" s="1">
        <v>45084</v>
      </c>
      <c r="N147" t="s">
        <v>57</v>
      </c>
      <c r="O147">
        <v>-4</v>
      </c>
      <c r="P147" s="1">
        <v>45086</v>
      </c>
      <c r="Q147" s="2">
        <v>45086</v>
      </c>
      <c r="R147" t="s">
        <v>38</v>
      </c>
      <c r="S147">
        <v>0</v>
      </c>
      <c r="U147">
        <v>1.26801398663549E-3</v>
      </c>
      <c r="V147">
        <v>3078</v>
      </c>
      <c r="W147">
        <v>9</v>
      </c>
      <c r="X147" t="s">
        <v>62</v>
      </c>
      <c r="Y147" s="1">
        <v>45086</v>
      </c>
      <c r="Z147" t="s">
        <v>33</v>
      </c>
    </row>
    <row r="148" spans="1:31" x14ac:dyDescent="0.45">
      <c r="A148">
        <v>48392</v>
      </c>
      <c r="B148" t="s">
        <v>246</v>
      </c>
      <c r="C148" t="s">
        <v>44</v>
      </c>
      <c r="G148" s="1">
        <v>45065</v>
      </c>
      <c r="H148" s="1">
        <v>45065</v>
      </c>
      <c r="I148" t="s">
        <v>33</v>
      </c>
      <c r="J148" t="s">
        <v>33</v>
      </c>
      <c r="K148">
        <v>4</v>
      </c>
      <c r="L148" s="1">
        <v>45076</v>
      </c>
      <c r="M148" s="1">
        <v>45076</v>
      </c>
      <c r="N148" t="s">
        <v>33</v>
      </c>
      <c r="O148" t="s">
        <v>33</v>
      </c>
      <c r="P148" s="1">
        <v>45111</v>
      </c>
      <c r="Q148" s="2">
        <v>45102</v>
      </c>
      <c r="R148" t="s">
        <v>38</v>
      </c>
      <c r="S148">
        <v>-9</v>
      </c>
      <c r="U148">
        <v>2.0626228233803799E-2</v>
      </c>
      <c r="V148">
        <v>4153</v>
      </c>
      <c r="W148">
        <v>202</v>
      </c>
      <c r="X148" t="s">
        <v>72</v>
      </c>
      <c r="AA148" s="1">
        <v>45102</v>
      </c>
      <c r="AB148" t="s">
        <v>38</v>
      </c>
      <c r="AC148">
        <v>-9</v>
      </c>
      <c r="AD148" s="1">
        <v>45102</v>
      </c>
      <c r="AE148">
        <v>9</v>
      </c>
    </row>
    <row r="149" spans="1:31" x14ac:dyDescent="0.45">
      <c r="A149">
        <v>48445</v>
      </c>
      <c r="B149" t="s">
        <v>247</v>
      </c>
      <c r="C149" t="s">
        <v>32</v>
      </c>
      <c r="G149" s="1">
        <v>45061</v>
      </c>
      <c r="H149" s="1">
        <v>45061</v>
      </c>
      <c r="I149" t="s">
        <v>33</v>
      </c>
      <c r="J149" t="s">
        <v>33</v>
      </c>
      <c r="K149">
        <v>4</v>
      </c>
      <c r="L149" s="1">
        <v>45072</v>
      </c>
      <c r="M149" s="1">
        <v>45072</v>
      </c>
      <c r="N149" t="s">
        <v>33</v>
      </c>
      <c r="O149" t="s">
        <v>33</v>
      </c>
      <c r="P149" s="1">
        <v>45076</v>
      </c>
      <c r="Q149" s="2">
        <v>45076</v>
      </c>
      <c r="R149" t="s">
        <v>38</v>
      </c>
      <c r="S149">
        <v>0</v>
      </c>
      <c r="U149" s="3" t="s">
        <v>248</v>
      </c>
      <c r="V149">
        <v>3645</v>
      </c>
      <c r="W149">
        <v>96</v>
      </c>
    </row>
    <row r="150" spans="1:31" x14ac:dyDescent="0.45">
      <c r="A150">
        <v>48445</v>
      </c>
      <c r="B150" t="s">
        <v>249</v>
      </c>
      <c r="C150" t="s">
        <v>32</v>
      </c>
      <c r="G150" s="1">
        <v>45098</v>
      </c>
      <c r="H150" s="1">
        <v>45098</v>
      </c>
      <c r="I150" t="s">
        <v>33</v>
      </c>
      <c r="J150" t="s">
        <v>33</v>
      </c>
      <c r="K150">
        <v>4</v>
      </c>
      <c r="L150" s="1">
        <v>45113</v>
      </c>
      <c r="M150" s="1">
        <v>45113</v>
      </c>
      <c r="N150" t="s">
        <v>33</v>
      </c>
      <c r="O150" t="s">
        <v>33</v>
      </c>
      <c r="P150" t="s">
        <v>49</v>
      </c>
      <c r="R150" t="s">
        <v>36</v>
      </c>
      <c r="U150" s="3" t="s">
        <v>248</v>
      </c>
      <c r="V150">
        <v>3645</v>
      </c>
      <c r="W150">
        <v>96</v>
      </c>
    </row>
    <row r="151" spans="1:31" x14ac:dyDescent="0.45">
      <c r="A151">
        <v>48796</v>
      </c>
      <c r="B151" t="s">
        <v>250</v>
      </c>
      <c r="C151" t="s">
        <v>52</v>
      </c>
      <c r="F151" t="s">
        <v>251</v>
      </c>
      <c r="G151" t="s">
        <v>48</v>
      </c>
      <c r="I151" t="s">
        <v>42</v>
      </c>
      <c r="K151">
        <v>4</v>
      </c>
      <c r="L151" s="1">
        <v>45054</v>
      </c>
      <c r="M151" s="1">
        <v>45054</v>
      </c>
      <c r="N151" t="s">
        <v>33</v>
      </c>
      <c r="O151" t="s">
        <v>33</v>
      </c>
      <c r="P151" s="1">
        <v>45063</v>
      </c>
      <c r="Q151" s="2">
        <v>45062</v>
      </c>
      <c r="R151" t="s">
        <v>38</v>
      </c>
      <c r="S151">
        <v>-1</v>
      </c>
      <c r="U151">
        <v>9.5989576866856094E-3</v>
      </c>
      <c r="V151">
        <v>2640</v>
      </c>
      <c r="W151">
        <v>59</v>
      </c>
    </row>
    <row r="152" spans="1:31" x14ac:dyDescent="0.45">
      <c r="A152">
        <v>48797</v>
      </c>
      <c r="B152" t="s">
        <v>252</v>
      </c>
      <c r="C152" t="s">
        <v>52</v>
      </c>
      <c r="G152" t="s">
        <v>48</v>
      </c>
      <c r="I152" t="s">
        <v>42</v>
      </c>
      <c r="K152">
        <v>4</v>
      </c>
      <c r="L152" s="1">
        <v>45053</v>
      </c>
      <c r="M152" s="1">
        <v>45053</v>
      </c>
      <c r="N152" t="s">
        <v>33</v>
      </c>
      <c r="O152" t="s">
        <v>33</v>
      </c>
      <c r="P152" s="1">
        <v>45062</v>
      </c>
      <c r="Q152" s="2">
        <v>45065</v>
      </c>
      <c r="R152" t="s">
        <v>38</v>
      </c>
      <c r="S152">
        <v>3</v>
      </c>
      <c r="U152" s="3" t="s">
        <v>253</v>
      </c>
      <c r="V152">
        <v>2638</v>
      </c>
      <c r="W152">
        <v>102</v>
      </c>
    </row>
    <row r="153" spans="1:31" hidden="1" x14ac:dyDescent="0.45">
      <c r="A153">
        <v>48440</v>
      </c>
      <c r="B153" t="s">
        <v>254</v>
      </c>
      <c r="C153" t="s">
        <v>41</v>
      </c>
      <c r="G153" t="s">
        <v>34</v>
      </c>
      <c r="I153" t="s">
        <v>42</v>
      </c>
      <c r="K153">
        <v>4</v>
      </c>
      <c r="L153" t="s">
        <v>34</v>
      </c>
      <c r="N153" t="s">
        <v>35</v>
      </c>
      <c r="P153" t="s">
        <v>34</v>
      </c>
      <c r="R153" t="s">
        <v>36</v>
      </c>
    </row>
    <row r="154" spans="1:31" hidden="1" x14ac:dyDescent="0.45">
      <c r="A154">
        <v>48461</v>
      </c>
      <c r="B154" t="s">
        <v>255</v>
      </c>
      <c r="C154" t="s">
        <v>41</v>
      </c>
      <c r="F154" t="s">
        <v>256</v>
      </c>
      <c r="G154" t="s">
        <v>34</v>
      </c>
      <c r="I154" t="s">
        <v>42</v>
      </c>
      <c r="K154">
        <v>4</v>
      </c>
      <c r="L154" t="s">
        <v>34</v>
      </c>
      <c r="N154" t="s">
        <v>35</v>
      </c>
      <c r="P154" t="s">
        <v>34</v>
      </c>
      <c r="R154" t="s">
        <v>36</v>
      </c>
    </row>
    <row r="155" spans="1:31" x14ac:dyDescent="0.45">
      <c r="A155">
        <v>48475</v>
      </c>
      <c r="B155" t="s">
        <v>257</v>
      </c>
      <c r="C155" t="s">
        <v>52</v>
      </c>
      <c r="G155" s="1">
        <v>45084</v>
      </c>
      <c r="H155" s="1">
        <v>45084</v>
      </c>
      <c r="I155" t="s">
        <v>33</v>
      </c>
      <c r="J155" t="s">
        <v>33</v>
      </c>
      <c r="K155">
        <v>4</v>
      </c>
      <c r="L155" s="1">
        <v>45094</v>
      </c>
      <c r="M155" s="1">
        <v>45094</v>
      </c>
      <c r="N155" t="s">
        <v>33</v>
      </c>
      <c r="O155" t="s">
        <v>33</v>
      </c>
      <c r="P155" s="1">
        <v>45108</v>
      </c>
      <c r="Q155" s="2">
        <v>45112</v>
      </c>
      <c r="R155" t="s">
        <v>38</v>
      </c>
      <c r="S155">
        <v>4</v>
      </c>
      <c r="U155">
        <v>8.2219524473622296E-2</v>
      </c>
      <c r="V155">
        <v>1828</v>
      </c>
      <c r="W155">
        <v>381</v>
      </c>
    </row>
    <row r="156" spans="1:31" x14ac:dyDescent="0.45">
      <c r="A156">
        <v>48437</v>
      </c>
      <c r="B156" t="s">
        <v>258</v>
      </c>
      <c r="C156" t="s">
        <v>32</v>
      </c>
      <c r="E156" t="s">
        <v>4</v>
      </c>
      <c r="G156" s="1">
        <v>45052</v>
      </c>
      <c r="H156" s="1">
        <v>45052</v>
      </c>
      <c r="I156" t="s">
        <v>33</v>
      </c>
      <c r="J156" t="s">
        <v>33</v>
      </c>
      <c r="K156">
        <v>4</v>
      </c>
      <c r="L156" s="1">
        <v>45061</v>
      </c>
      <c r="M156" s="1">
        <v>45061</v>
      </c>
      <c r="N156" t="s">
        <v>33</v>
      </c>
      <c r="O156" t="s">
        <v>33</v>
      </c>
      <c r="P156" s="1">
        <v>45071</v>
      </c>
      <c r="Q156" s="2">
        <v>45071</v>
      </c>
      <c r="R156" t="s">
        <v>38</v>
      </c>
      <c r="S156">
        <v>0</v>
      </c>
      <c r="U156">
        <v>4.2107374520109403E-2</v>
      </c>
      <c r="V156">
        <v>3919</v>
      </c>
      <c r="W156">
        <v>399</v>
      </c>
    </row>
    <row r="157" spans="1:31" x14ac:dyDescent="0.45">
      <c r="A157">
        <v>48437</v>
      </c>
      <c r="B157" t="s">
        <v>259</v>
      </c>
      <c r="C157" t="s">
        <v>32</v>
      </c>
      <c r="G157" s="1">
        <v>45092</v>
      </c>
      <c r="H157" s="1">
        <v>45092</v>
      </c>
      <c r="I157" t="s">
        <v>33</v>
      </c>
      <c r="J157" t="s">
        <v>33</v>
      </c>
      <c r="K157">
        <v>4</v>
      </c>
      <c r="L157" s="1">
        <v>45099</v>
      </c>
      <c r="M157" s="1">
        <v>45099</v>
      </c>
      <c r="N157" t="s">
        <v>33</v>
      </c>
      <c r="O157" t="s">
        <v>33</v>
      </c>
      <c r="P157" t="s">
        <v>49</v>
      </c>
      <c r="R157" t="s">
        <v>36</v>
      </c>
      <c r="U157">
        <v>4.2107374520109403E-2</v>
      </c>
      <c r="V157">
        <v>3919</v>
      </c>
      <c r="W157">
        <v>399</v>
      </c>
    </row>
    <row r="158" spans="1:31" x14ac:dyDescent="0.45">
      <c r="A158">
        <v>48764</v>
      </c>
      <c r="B158" t="s">
        <v>260</v>
      </c>
      <c r="C158" t="s">
        <v>52</v>
      </c>
      <c r="E158" t="s">
        <v>4</v>
      </c>
      <c r="G158" s="1">
        <v>45062</v>
      </c>
      <c r="H158" s="1">
        <v>45062</v>
      </c>
      <c r="I158" t="s">
        <v>33</v>
      </c>
      <c r="J158" t="s">
        <v>33</v>
      </c>
      <c r="K158">
        <v>4</v>
      </c>
      <c r="L158" s="1">
        <v>45072</v>
      </c>
      <c r="M158" s="1">
        <v>45072</v>
      </c>
      <c r="N158" t="s">
        <v>33</v>
      </c>
      <c r="O158" t="s">
        <v>33</v>
      </c>
      <c r="P158" s="1">
        <v>45081</v>
      </c>
      <c r="Q158" s="2">
        <v>45081</v>
      </c>
      <c r="R158" t="s">
        <v>38</v>
      </c>
      <c r="S158">
        <v>0</v>
      </c>
      <c r="U158">
        <v>1.1852098479961401E-3</v>
      </c>
      <c r="V158">
        <v>5123</v>
      </c>
      <c r="W158">
        <v>14</v>
      </c>
      <c r="X158" t="s">
        <v>62</v>
      </c>
      <c r="Y158" s="1">
        <v>45081</v>
      </c>
      <c r="Z158" t="s">
        <v>33</v>
      </c>
    </row>
    <row r="159" spans="1:31" x14ac:dyDescent="0.45">
      <c r="A159">
        <v>48765</v>
      </c>
      <c r="B159" t="s">
        <v>261</v>
      </c>
      <c r="C159" t="s">
        <v>32</v>
      </c>
      <c r="E159" t="s">
        <v>4</v>
      </c>
      <c r="G159" s="1">
        <v>45041</v>
      </c>
      <c r="H159" s="1">
        <v>45041</v>
      </c>
      <c r="I159" t="s">
        <v>33</v>
      </c>
      <c r="J159" t="s">
        <v>33</v>
      </c>
      <c r="K159">
        <v>4</v>
      </c>
      <c r="L159" s="1">
        <v>45052</v>
      </c>
      <c r="N159" t="s">
        <v>57</v>
      </c>
      <c r="O159" t="s">
        <v>58</v>
      </c>
      <c r="P159" s="1">
        <v>45079</v>
      </c>
      <c r="Q159" s="2">
        <v>45079</v>
      </c>
      <c r="R159" t="s">
        <v>38</v>
      </c>
      <c r="S159">
        <v>0</v>
      </c>
      <c r="U159">
        <v>1.48561541184884E-3</v>
      </c>
      <c r="V159">
        <v>7004</v>
      </c>
      <c r="W159">
        <v>24</v>
      </c>
      <c r="X159" t="s">
        <v>62</v>
      </c>
      <c r="Y159" s="1">
        <v>45079</v>
      </c>
      <c r="Z159" t="s">
        <v>33</v>
      </c>
    </row>
    <row r="160" spans="1:31" x14ac:dyDescent="0.45">
      <c r="A160">
        <v>48765</v>
      </c>
      <c r="B160" t="s">
        <v>262</v>
      </c>
      <c r="C160" t="s">
        <v>32</v>
      </c>
      <c r="E160" t="s">
        <v>4</v>
      </c>
      <c r="G160" s="1">
        <v>45095</v>
      </c>
      <c r="I160" t="s">
        <v>57</v>
      </c>
      <c r="J160" t="s">
        <v>58</v>
      </c>
      <c r="K160">
        <v>4</v>
      </c>
      <c r="L160" s="1">
        <v>45117</v>
      </c>
      <c r="N160" t="s">
        <v>57</v>
      </c>
      <c r="O160" t="s">
        <v>58</v>
      </c>
      <c r="P160" s="1">
        <v>45129</v>
      </c>
      <c r="Q160" s="2">
        <v>45125</v>
      </c>
      <c r="R160" t="s">
        <v>38</v>
      </c>
      <c r="S160">
        <v>-4</v>
      </c>
      <c r="U160">
        <v>1.48561541184884E-3</v>
      </c>
      <c r="V160">
        <v>7004</v>
      </c>
      <c r="W160">
        <v>24</v>
      </c>
      <c r="X160" t="s">
        <v>62</v>
      </c>
      <c r="Y160" s="1">
        <v>45129</v>
      </c>
      <c r="Z160" t="s">
        <v>33</v>
      </c>
    </row>
    <row r="161" spans="1:31" hidden="1" x14ac:dyDescent="0.45">
      <c r="A161">
        <v>48438</v>
      </c>
      <c r="B161" t="s">
        <v>263</v>
      </c>
      <c r="C161" t="s">
        <v>119</v>
      </c>
      <c r="G161" t="s">
        <v>34</v>
      </c>
      <c r="I161" t="s">
        <v>42</v>
      </c>
      <c r="K161">
        <v>4</v>
      </c>
      <c r="L161" t="s">
        <v>34</v>
      </c>
      <c r="N161" t="s">
        <v>35</v>
      </c>
      <c r="P161" t="s">
        <v>34</v>
      </c>
      <c r="R161" t="s">
        <v>36</v>
      </c>
    </row>
    <row r="162" spans="1:31" x14ac:dyDescent="0.45">
      <c r="A162">
        <v>48439</v>
      </c>
      <c r="B162" t="s">
        <v>264</v>
      </c>
      <c r="C162" t="s">
        <v>32</v>
      </c>
      <c r="G162" t="s">
        <v>48</v>
      </c>
      <c r="I162" t="s">
        <v>42</v>
      </c>
      <c r="K162">
        <v>4</v>
      </c>
      <c r="L162" t="s">
        <v>48</v>
      </c>
      <c r="N162" t="s">
        <v>35</v>
      </c>
      <c r="P162" s="1">
        <v>45059</v>
      </c>
      <c r="R162" t="s">
        <v>110</v>
      </c>
      <c r="U162" s="3" t="s">
        <v>265</v>
      </c>
      <c r="V162">
        <v>3877</v>
      </c>
      <c r="W162">
        <v>208</v>
      </c>
    </row>
    <row r="163" spans="1:31" x14ac:dyDescent="0.45">
      <c r="A163">
        <v>48439</v>
      </c>
      <c r="B163" t="s">
        <v>266</v>
      </c>
      <c r="C163" t="s">
        <v>32</v>
      </c>
      <c r="G163" s="1">
        <v>45068</v>
      </c>
      <c r="H163" s="1">
        <v>45068</v>
      </c>
      <c r="I163" t="s">
        <v>33</v>
      </c>
      <c r="J163" t="s">
        <v>33</v>
      </c>
      <c r="K163">
        <v>4</v>
      </c>
      <c r="L163" s="1">
        <v>45079</v>
      </c>
      <c r="M163" s="1">
        <v>45079</v>
      </c>
      <c r="N163" t="s">
        <v>33</v>
      </c>
      <c r="O163" t="s">
        <v>33</v>
      </c>
      <c r="P163" s="1">
        <v>45087</v>
      </c>
      <c r="Q163" s="2">
        <v>45087</v>
      </c>
      <c r="R163" t="s">
        <v>38</v>
      </c>
      <c r="S163">
        <v>0</v>
      </c>
      <c r="U163" s="3" t="s">
        <v>265</v>
      </c>
      <c r="V163">
        <v>3877</v>
      </c>
      <c r="W163">
        <v>208</v>
      </c>
    </row>
    <row r="164" spans="1:31" x14ac:dyDescent="0.45">
      <c r="A164">
        <v>48464</v>
      </c>
      <c r="B164" t="s">
        <v>267</v>
      </c>
      <c r="C164" t="s">
        <v>52</v>
      </c>
      <c r="E164" t="s">
        <v>4</v>
      </c>
      <c r="G164" s="1">
        <v>45092</v>
      </c>
      <c r="H164" s="1">
        <v>45092</v>
      </c>
      <c r="I164" t="s">
        <v>33</v>
      </c>
      <c r="J164" t="s">
        <v>33</v>
      </c>
      <c r="K164">
        <v>4</v>
      </c>
      <c r="L164" s="1">
        <v>45101</v>
      </c>
      <c r="M164" s="1">
        <v>45106</v>
      </c>
      <c r="N164" t="s">
        <v>57</v>
      </c>
      <c r="O164">
        <v>-5</v>
      </c>
      <c r="P164" s="1">
        <v>45112</v>
      </c>
      <c r="Q164" s="2">
        <v>45112</v>
      </c>
      <c r="R164" t="s">
        <v>38</v>
      </c>
      <c r="S164">
        <v>0</v>
      </c>
      <c r="U164">
        <v>2.3065770253475901E-3</v>
      </c>
      <c r="V164">
        <v>2629</v>
      </c>
      <c r="W164">
        <v>14</v>
      </c>
      <c r="X164" t="s">
        <v>62</v>
      </c>
      <c r="Y164" s="1">
        <v>45112</v>
      </c>
      <c r="Z164" t="s">
        <v>33</v>
      </c>
    </row>
    <row r="165" spans="1:31" x14ac:dyDescent="0.45">
      <c r="A165">
        <v>48447</v>
      </c>
      <c r="B165" t="s">
        <v>268</v>
      </c>
      <c r="C165" t="s">
        <v>52</v>
      </c>
      <c r="G165" s="1">
        <v>45112</v>
      </c>
      <c r="H165" s="1">
        <v>45112</v>
      </c>
      <c r="I165" t="s">
        <v>33</v>
      </c>
      <c r="J165" t="s">
        <v>33</v>
      </c>
      <c r="K165">
        <v>4</v>
      </c>
      <c r="L165" s="1">
        <v>45122</v>
      </c>
      <c r="M165" s="1">
        <v>45122</v>
      </c>
      <c r="N165" t="s">
        <v>33</v>
      </c>
      <c r="O165" t="s">
        <v>33</v>
      </c>
      <c r="P165" t="s">
        <v>49</v>
      </c>
      <c r="R165" t="s">
        <v>36</v>
      </c>
      <c r="U165">
        <v>6.6185490808080404E-3</v>
      </c>
      <c r="V165">
        <v>2735</v>
      </c>
      <c r="W165">
        <v>42</v>
      </c>
    </row>
    <row r="166" spans="1:31" x14ac:dyDescent="0.45">
      <c r="A166">
        <v>48466</v>
      </c>
      <c r="B166" t="s">
        <v>269</v>
      </c>
      <c r="C166" t="s">
        <v>44</v>
      </c>
      <c r="E166" t="s">
        <v>4</v>
      </c>
      <c r="G166" s="1">
        <v>45031</v>
      </c>
      <c r="I166" t="s">
        <v>57</v>
      </c>
      <c r="J166" t="s">
        <v>58</v>
      </c>
      <c r="K166">
        <v>4</v>
      </c>
      <c r="L166" s="1">
        <v>45045</v>
      </c>
      <c r="M166" s="1">
        <v>45045</v>
      </c>
      <c r="N166" t="s">
        <v>33</v>
      </c>
      <c r="O166" t="s">
        <v>33</v>
      </c>
      <c r="P166" s="1">
        <v>45065</v>
      </c>
      <c r="Q166" s="2">
        <v>45065</v>
      </c>
      <c r="R166" t="s">
        <v>38</v>
      </c>
      <c r="S166">
        <v>0</v>
      </c>
      <c r="U166" s="3" t="s">
        <v>270</v>
      </c>
      <c r="V166">
        <v>6806</v>
      </c>
      <c r="W166">
        <v>235</v>
      </c>
      <c r="X166" t="s">
        <v>72</v>
      </c>
      <c r="AA166" s="1">
        <v>45065</v>
      </c>
      <c r="AB166" t="s">
        <v>38</v>
      </c>
      <c r="AC166">
        <v>0</v>
      </c>
      <c r="AD166" s="1">
        <v>45065</v>
      </c>
      <c r="AE166" t="s">
        <v>33</v>
      </c>
    </row>
    <row r="167" spans="1:31" hidden="1" x14ac:dyDescent="0.45">
      <c r="A167">
        <v>48478</v>
      </c>
      <c r="B167" t="s">
        <v>271</v>
      </c>
      <c r="C167" t="s">
        <v>119</v>
      </c>
      <c r="G167" t="s">
        <v>34</v>
      </c>
      <c r="I167" t="s">
        <v>42</v>
      </c>
      <c r="K167">
        <v>4</v>
      </c>
      <c r="L167" t="s">
        <v>34</v>
      </c>
      <c r="N167" t="s">
        <v>35</v>
      </c>
      <c r="P167" t="s">
        <v>34</v>
      </c>
      <c r="R167" t="s">
        <v>36</v>
      </c>
    </row>
    <row r="168" spans="1:31" hidden="1" x14ac:dyDescent="0.45">
      <c r="A168">
        <v>48456</v>
      </c>
      <c r="B168" t="s">
        <v>272</v>
      </c>
      <c r="C168" t="s">
        <v>41</v>
      </c>
      <c r="G168" t="s">
        <v>34</v>
      </c>
      <c r="I168" t="s">
        <v>42</v>
      </c>
      <c r="K168">
        <v>4</v>
      </c>
      <c r="L168" t="s">
        <v>34</v>
      </c>
      <c r="N168" t="s">
        <v>35</v>
      </c>
      <c r="P168" t="s">
        <v>34</v>
      </c>
      <c r="R168" t="s">
        <v>36</v>
      </c>
    </row>
    <row r="169" spans="1:31" x14ac:dyDescent="0.45">
      <c r="A169">
        <v>48398</v>
      </c>
      <c r="B169" t="s">
        <v>273</v>
      </c>
      <c r="C169" t="s">
        <v>32</v>
      </c>
      <c r="G169" t="s">
        <v>34</v>
      </c>
      <c r="I169" t="s">
        <v>42</v>
      </c>
      <c r="K169">
        <v>4</v>
      </c>
      <c r="L169" s="1">
        <v>45094</v>
      </c>
      <c r="M169" s="1">
        <v>45094</v>
      </c>
      <c r="N169" t="s">
        <v>33</v>
      </c>
      <c r="O169" t="s">
        <v>33</v>
      </c>
      <c r="P169" s="1">
        <v>45115</v>
      </c>
      <c r="Q169" s="2">
        <v>45115</v>
      </c>
      <c r="R169" t="s">
        <v>38</v>
      </c>
      <c r="S169">
        <v>0</v>
      </c>
      <c r="U169" s="3" t="s">
        <v>274</v>
      </c>
      <c r="V169">
        <v>3850</v>
      </c>
      <c r="W169">
        <v>108</v>
      </c>
    </row>
    <row r="170" spans="1:31" x14ac:dyDescent="0.45">
      <c r="A170">
        <v>48398</v>
      </c>
      <c r="B170" t="s">
        <v>275</v>
      </c>
      <c r="C170" t="s">
        <v>32</v>
      </c>
      <c r="G170" t="s">
        <v>34</v>
      </c>
      <c r="I170" t="s">
        <v>42</v>
      </c>
      <c r="K170">
        <v>4</v>
      </c>
      <c r="L170" s="1">
        <v>45134</v>
      </c>
      <c r="M170" s="1">
        <v>45134</v>
      </c>
      <c r="N170" t="s">
        <v>33</v>
      </c>
      <c r="O170" t="s">
        <v>33</v>
      </c>
      <c r="P170" s="1">
        <v>45142</v>
      </c>
      <c r="R170" t="s">
        <v>69</v>
      </c>
      <c r="U170" s="3" t="s">
        <v>274</v>
      </c>
      <c r="V170">
        <v>3850</v>
      </c>
      <c r="W170">
        <v>108</v>
      </c>
      <c r="X170" t="s">
        <v>62</v>
      </c>
      <c r="Y170" s="1">
        <v>45142</v>
      </c>
      <c r="Z170" t="s">
        <v>33</v>
      </c>
    </row>
    <row r="171" spans="1:31" x14ac:dyDescent="0.45">
      <c r="A171">
        <v>48393</v>
      </c>
      <c r="B171" t="s">
        <v>276</v>
      </c>
      <c r="C171" t="s">
        <v>52</v>
      </c>
      <c r="G171" s="1">
        <v>45061</v>
      </c>
      <c r="H171" s="1">
        <v>45061</v>
      </c>
      <c r="I171" t="s">
        <v>33</v>
      </c>
      <c r="J171" t="s">
        <v>33</v>
      </c>
      <c r="K171">
        <v>4</v>
      </c>
      <c r="L171" s="1">
        <v>45070</v>
      </c>
      <c r="M171" s="1">
        <v>45070</v>
      </c>
      <c r="N171" t="s">
        <v>33</v>
      </c>
      <c r="O171" t="s">
        <v>33</v>
      </c>
      <c r="P171" s="1">
        <v>45080</v>
      </c>
      <c r="Q171" s="2">
        <v>45080</v>
      </c>
      <c r="R171" t="s">
        <v>38</v>
      </c>
      <c r="S171">
        <v>0</v>
      </c>
      <c r="U171">
        <v>1.6472852983429301E-3</v>
      </c>
      <c r="V171">
        <v>5526</v>
      </c>
      <c r="W171">
        <v>21</v>
      </c>
      <c r="X171" t="s">
        <v>62</v>
      </c>
      <c r="Y171" s="1">
        <v>45080</v>
      </c>
      <c r="Z171" t="s">
        <v>33</v>
      </c>
    </row>
    <row r="172" spans="1:31" x14ac:dyDescent="0.45">
      <c r="A172">
        <v>48471</v>
      </c>
      <c r="B172" t="s">
        <v>277</v>
      </c>
      <c r="C172" t="s">
        <v>44</v>
      </c>
      <c r="G172" s="1">
        <v>45051</v>
      </c>
      <c r="H172" s="1">
        <v>45051</v>
      </c>
      <c r="I172" t="s">
        <v>33</v>
      </c>
      <c r="J172" t="s">
        <v>33</v>
      </c>
      <c r="K172">
        <v>4</v>
      </c>
      <c r="L172" s="1">
        <v>45063</v>
      </c>
      <c r="M172" s="1">
        <v>45063</v>
      </c>
      <c r="N172" t="s">
        <v>33</v>
      </c>
      <c r="O172" t="s">
        <v>33</v>
      </c>
      <c r="P172" s="1">
        <v>45084</v>
      </c>
      <c r="Q172" s="2">
        <v>45084</v>
      </c>
      <c r="R172" t="s">
        <v>38</v>
      </c>
      <c r="S172">
        <v>0</v>
      </c>
      <c r="U172">
        <v>5.0984089567382403E-3</v>
      </c>
      <c r="V172">
        <v>5081</v>
      </c>
      <c r="W172">
        <v>60</v>
      </c>
      <c r="X172" t="s">
        <v>187</v>
      </c>
      <c r="Y172" s="1">
        <v>45084</v>
      </c>
      <c r="Z172" t="s">
        <v>33</v>
      </c>
      <c r="AA172" s="1">
        <v>45084</v>
      </c>
      <c r="AB172" t="s">
        <v>38</v>
      </c>
      <c r="AC172">
        <v>0</v>
      </c>
      <c r="AD172" s="1">
        <v>45084</v>
      </c>
      <c r="AE172" t="s">
        <v>33</v>
      </c>
    </row>
    <row r="173" spans="1:31" x14ac:dyDescent="0.45">
      <c r="A173">
        <v>48469</v>
      </c>
      <c r="B173" t="s">
        <v>278</v>
      </c>
      <c r="C173" t="s">
        <v>44</v>
      </c>
      <c r="G173" s="1">
        <v>45047</v>
      </c>
      <c r="H173" s="1">
        <v>45047</v>
      </c>
      <c r="I173" t="s">
        <v>33</v>
      </c>
      <c r="J173" t="s">
        <v>33</v>
      </c>
      <c r="K173">
        <v>4</v>
      </c>
      <c r="L173" s="1">
        <v>45054</v>
      </c>
      <c r="M173" s="1">
        <v>45054</v>
      </c>
      <c r="N173" t="s">
        <v>33</v>
      </c>
      <c r="O173" t="s">
        <v>33</v>
      </c>
      <c r="P173" s="1">
        <v>45106</v>
      </c>
      <c r="R173" t="s">
        <v>71</v>
      </c>
      <c r="U173" s="3" t="s">
        <v>279</v>
      </c>
      <c r="V173">
        <v>5658</v>
      </c>
      <c r="W173">
        <v>462</v>
      </c>
      <c r="X173" t="s">
        <v>72</v>
      </c>
      <c r="AA173" s="1">
        <v>45092</v>
      </c>
      <c r="AB173" t="s">
        <v>38</v>
      </c>
      <c r="AC173">
        <v>-14</v>
      </c>
      <c r="AD173" s="1">
        <v>45096</v>
      </c>
      <c r="AE173">
        <v>10</v>
      </c>
    </row>
    <row r="174" spans="1:31" x14ac:dyDescent="0.45">
      <c r="A174">
        <v>65446</v>
      </c>
      <c r="B174" t="s">
        <v>280</v>
      </c>
      <c r="C174" t="s">
        <v>115</v>
      </c>
      <c r="D174" t="s">
        <v>116</v>
      </c>
      <c r="G174" t="s">
        <v>48</v>
      </c>
      <c r="I174" t="s">
        <v>42</v>
      </c>
      <c r="K174">
        <v>4</v>
      </c>
      <c r="L174" s="1">
        <v>45418</v>
      </c>
      <c r="M174" s="1">
        <v>45418</v>
      </c>
      <c r="N174" t="s">
        <v>33</v>
      </c>
      <c r="O174" t="s">
        <v>33</v>
      </c>
      <c r="P174" t="s">
        <v>34</v>
      </c>
      <c r="R174" t="s">
        <v>36</v>
      </c>
      <c r="U174">
        <v>6.1285573998977001E-2</v>
      </c>
      <c r="V174">
        <v>7898</v>
      </c>
      <c r="W174">
        <v>1197</v>
      </c>
    </row>
    <row r="175" spans="1:31" x14ac:dyDescent="0.45">
      <c r="A175">
        <v>65446</v>
      </c>
      <c r="B175" t="s">
        <v>281</v>
      </c>
      <c r="C175" t="s">
        <v>115</v>
      </c>
      <c r="D175" t="s">
        <v>116</v>
      </c>
      <c r="G175" s="1">
        <v>45437</v>
      </c>
      <c r="H175" s="1">
        <v>45437</v>
      </c>
      <c r="I175" t="s">
        <v>33</v>
      </c>
      <c r="J175" t="s">
        <v>33</v>
      </c>
      <c r="K175">
        <v>4</v>
      </c>
      <c r="L175" t="s">
        <v>34</v>
      </c>
      <c r="N175" t="s">
        <v>35</v>
      </c>
      <c r="P175" s="1">
        <v>45491</v>
      </c>
      <c r="R175" t="s">
        <v>110</v>
      </c>
      <c r="U175">
        <v>6.1285573998977001E-2</v>
      </c>
      <c r="V175">
        <v>7898</v>
      </c>
      <c r="W175">
        <v>1197</v>
      </c>
    </row>
    <row r="176" spans="1:31" x14ac:dyDescent="0.45">
      <c r="A176">
        <v>65447</v>
      </c>
      <c r="B176" t="s">
        <v>282</v>
      </c>
      <c r="C176" t="s">
        <v>32</v>
      </c>
      <c r="G176" s="1">
        <v>45411</v>
      </c>
      <c r="H176" s="1">
        <v>45411</v>
      </c>
      <c r="I176" t="s">
        <v>33</v>
      </c>
      <c r="J176" t="s">
        <v>33</v>
      </c>
      <c r="K176">
        <v>4</v>
      </c>
      <c r="L176" s="1">
        <v>45422</v>
      </c>
      <c r="M176" s="1">
        <v>45422</v>
      </c>
      <c r="N176" t="s">
        <v>33</v>
      </c>
      <c r="O176" t="s">
        <v>33</v>
      </c>
      <c r="P176" t="s">
        <v>34</v>
      </c>
      <c r="R176" t="s">
        <v>36</v>
      </c>
      <c r="U176">
        <v>4.2114854490131401E-2</v>
      </c>
      <c r="V176">
        <v>6118</v>
      </c>
      <c r="W176">
        <v>623</v>
      </c>
    </row>
    <row r="177" spans="1:31" x14ac:dyDescent="0.45">
      <c r="A177">
        <v>65447</v>
      </c>
      <c r="B177" t="s">
        <v>283</v>
      </c>
      <c r="C177" t="s">
        <v>32</v>
      </c>
      <c r="G177" s="1">
        <v>45447</v>
      </c>
      <c r="H177" s="1">
        <v>45447</v>
      </c>
      <c r="I177" t="s">
        <v>33</v>
      </c>
      <c r="J177" t="s">
        <v>33</v>
      </c>
      <c r="K177">
        <v>4</v>
      </c>
      <c r="L177" s="1">
        <v>45454</v>
      </c>
      <c r="M177" s="1">
        <v>45454</v>
      </c>
      <c r="N177" t="s">
        <v>33</v>
      </c>
      <c r="O177" t="s">
        <v>33</v>
      </c>
      <c r="P177" s="1">
        <v>45495</v>
      </c>
      <c r="R177" t="s">
        <v>71</v>
      </c>
      <c r="U177">
        <v>4.2114854490131401E-2</v>
      </c>
      <c r="V177">
        <v>6118</v>
      </c>
      <c r="W177">
        <v>623</v>
      </c>
    </row>
    <row r="178" spans="1:31" x14ac:dyDescent="0.45">
      <c r="A178">
        <v>65444</v>
      </c>
      <c r="B178" t="s">
        <v>284</v>
      </c>
      <c r="C178" t="s">
        <v>115</v>
      </c>
      <c r="D178" t="s">
        <v>116</v>
      </c>
      <c r="G178" t="s">
        <v>48</v>
      </c>
      <c r="I178" t="s">
        <v>42</v>
      </c>
      <c r="K178">
        <v>4</v>
      </c>
      <c r="L178" s="1">
        <v>45415</v>
      </c>
      <c r="M178" s="1">
        <v>45415</v>
      </c>
      <c r="N178" t="s">
        <v>33</v>
      </c>
      <c r="O178" t="s">
        <v>33</v>
      </c>
      <c r="P178" t="s">
        <v>34</v>
      </c>
      <c r="R178" t="s">
        <v>36</v>
      </c>
      <c r="U178" s="3" t="s">
        <v>285</v>
      </c>
      <c r="V178">
        <v>6693</v>
      </c>
      <c r="W178">
        <v>2220</v>
      </c>
    </row>
    <row r="179" spans="1:31" x14ac:dyDescent="0.45">
      <c r="A179">
        <v>65444</v>
      </c>
      <c r="B179" t="s">
        <v>286</v>
      </c>
      <c r="C179" t="s">
        <v>115</v>
      </c>
      <c r="D179" t="s">
        <v>116</v>
      </c>
      <c r="G179" s="1">
        <v>45437</v>
      </c>
      <c r="H179" s="1">
        <v>45437</v>
      </c>
      <c r="I179" t="s">
        <v>33</v>
      </c>
      <c r="J179" t="s">
        <v>33</v>
      </c>
      <c r="K179">
        <v>4</v>
      </c>
      <c r="L179" t="s">
        <v>34</v>
      </c>
      <c r="N179" t="s">
        <v>35</v>
      </c>
      <c r="P179" s="1">
        <v>45487</v>
      </c>
      <c r="R179" t="s">
        <v>110</v>
      </c>
      <c r="U179" s="3" t="s">
        <v>285</v>
      </c>
      <c r="V179">
        <v>6693</v>
      </c>
      <c r="W179">
        <v>2220</v>
      </c>
    </row>
    <row r="180" spans="1:31" x14ac:dyDescent="0.45">
      <c r="A180">
        <v>65453</v>
      </c>
      <c r="B180" t="s">
        <v>287</v>
      </c>
      <c r="C180" t="s">
        <v>52</v>
      </c>
      <c r="G180" s="1">
        <v>45456</v>
      </c>
      <c r="H180" s="1">
        <v>45456</v>
      </c>
      <c r="I180" t="s">
        <v>33</v>
      </c>
      <c r="J180" t="s">
        <v>33</v>
      </c>
      <c r="K180">
        <v>4</v>
      </c>
      <c r="L180" t="s">
        <v>34</v>
      </c>
      <c r="N180" t="s">
        <v>35</v>
      </c>
      <c r="P180" t="s">
        <v>34</v>
      </c>
      <c r="R180" t="s">
        <v>36</v>
      </c>
      <c r="U180">
        <v>2.6662917970591502E-4</v>
      </c>
      <c r="V180">
        <v>4885</v>
      </c>
      <c r="W180">
        <v>3</v>
      </c>
    </row>
    <row r="181" spans="1:31" hidden="1" x14ac:dyDescent="0.45">
      <c r="A181">
        <v>65454</v>
      </c>
      <c r="B181" t="s">
        <v>288</v>
      </c>
      <c r="C181" t="s">
        <v>41</v>
      </c>
      <c r="G181" t="s">
        <v>34</v>
      </c>
      <c r="I181" t="s">
        <v>42</v>
      </c>
      <c r="K181">
        <v>4</v>
      </c>
      <c r="L181" t="s">
        <v>34</v>
      </c>
      <c r="N181" t="s">
        <v>35</v>
      </c>
      <c r="P181" t="s">
        <v>34</v>
      </c>
      <c r="R181" t="s">
        <v>36</v>
      </c>
    </row>
    <row r="182" spans="1:31" x14ac:dyDescent="0.45">
      <c r="A182">
        <v>63115</v>
      </c>
      <c r="B182" t="s">
        <v>289</v>
      </c>
      <c r="C182" t="s">
        <v>52</v>
      </c>
      <c r="G182" s="1">
        <v>45441</v>
      </c>
      <c r="H182" s="1">
        <v>45441</v>
      </c>
      <c r="I182" t="s">
        <v>33</v>
      </c>
      <c r="J182" t="s">
        <v>33</v>
      </c>
      <c r="K182">
        <v>4</v>
      </c>
      <c r="L182" t="s">
        <v>34</v>
      </c>
      <c r="N182" t="s">
        <v>35</v>
      </c>
      <c r="P182" s="1">
        <v>45477</v>
      </c>
      <c r="R182" t="s">
        <v>110</v>
      </c>
      <c r="U182" s="3" t="s">
        <v>290</v>
      </c>
      <c r="V182">
        <v>5858</v>
      </c>
      <c r="W182">
        <v>175</v>
      </c>
    </row>
    <row r="183" spans="1:31" hidden="1" x14ac:dyDescent="0.45">
      <c r="A183">
        <v>65456</v>
      </c>
      <c r="B183" t="s">
        <v>291</v>
      </c>
      <c r="C183" t="s">
        <v>41</v>
      </c>
      <c r="G183" t="s">
        <v>34</v>
      </c>
      <c r="I183" t="s">
        <v>42</v>
      </c>
      <c r="K183">
        <v>4</v>
      </c>
      <c r="L183" t="s">
        <v>34</v>
      </c>
      <c r="N183" t="s">
        <v>35</v>
      </c>
      <c r="P183" t="s">
        <v>34</v>
      </c>
      <c r="R183" t="s">
        <v>36</v>
      </c>
    </row>
    <row r="184" spans="1:31" x14ac:dyDescent="0.45">
      <c r="A184">
        <v>63044</v>
      </c>
      <c r="B184" t="s">
        <v>292</v>
      </c>
      <c r="C184" t="s">
        <v>32</v>
      </c>
      <c r="E184" t="s">
        <v>4</v>
      </c>
      <c r="G184" s="1">
        <v>45417</v>
      </c>
      <c r="H184" s="1">
        <v>45417</v>
      </c>
      <c r="I184" t="s">
        <v>33</v>
      </c>
      <c r="J184" t="s">
        <v>33</v>
      </c>
      <c r="K184">
        <v>4</v>
      </c>
      <c r="L184" s="1">
        <v>45431</v>
      </c>
      <c r="N184" t="s">
        <v>57</v>
      </c>
      <c r="O184" t="s">
        <v>58</v>
      </c>
      <c r="P184" t="s">
        <v>34</v>
      </c>
      <c r="R184" t="s">
        <v>36</v>
      </c>
      <c r="U184">
        <v>8.4098378126003202E-3</v>
      </c>
      <c r="V184">
        <v>2864</v>
      </c>
      <c r="W184">
        <v>56</v>
      </c>
    </row>
    <row r="185" spans="1:31" x14ac:dyDescent="0.45">
      <c r="A185">
        <v>63044</v>
      </c>
      <c r="B185" t="s">
        <v>293</v>
      </c>
      <c r="C185" t="s">
        <v>32</v>
      </c>
      <c r="G185" s="1">
        <v>45452</v>
      </c>
      <c r="H185" s="1">
        <v>45452</v>
      </c>
      <c r="I185" t="s">
        <v>33</v>
      </c>
      <c r="J185" t="s">
        <v>33</v>
      </c>
      <c r="K185">
        <v>4</v>
      </c>
      <c r="L185" s="1">
        <v>45461</v>
      </c>
      <c r="M185" s="1">
        <v>45461</v>
      </c>
      <c r="N185" t="s">
        <v>33</v>
      </c>
      <c r="O185" t="s">
        <v>33</v>
      </c>
      <c r="P185" t="s">
        <v>49</v>
      </c>
      <c r="R185" t="s">
        <v>36</v>
      </c>
      <c r="U185">
        <v>8.4098378126003202E-3</v>
      </c>
      <c r="V185">
        <v>2864</v>
      </c>
      <c r="W185">
        <v>56</v>
      </c>
    </row>
    <row r="186" spans="1:31" hidden="1" x14ac:dyDescent="0.45">
      <c r="A186">
        <v>63085</v>
      </c>
      <c r="B186" t="s">
        <v>294</v>
      </c>
      <c r="C186" t="s">
        <v>119</v>
      </c>
      <c r="G186" t="s">
        <v>34</v>
      </c>
      <c r="I186" t="s">
        <v>42</v>
      </c>
      <c r="K186">
        <v>4</v>
      </c>
      <c r="L186" t="s">
        <v>34</v>
      </c>
      <c r="N186" t="s">
        <v>35</v>
      </c>
      <c r="P186" t="s">
        <v>34</v>
      </c>
      <c r="R186" t="s">
        <v>36</v>
      </c>
    </row>
    <row r="187" spans="1:31" hidden="1" x14ac:dyDescent="0.45">
      <c r="A187">
        <v>63088</v>
      </c>
      <c r="B187" t="s">
        <v>295</v>
      </c>
      <c r="C187" t="s">
        <v>119</v>
      </c>
      <c r="F187" t="s">
        <v>296</v>
      </c>
      <c r="G187" t="s">
        <v>34</v>
      </c>
      <c r="I187" t="s">
        <v>42</v>
      </c>
      <c r="K187">
        <v>4</v>
      </c>
      <c r="L187" t="s">
        <v>34</v>
      </c>
      <c r="N187" t="s">
        <v>35</v>
      </c>
      <c r="P187" t="s">
        <v>34</v>
      </c>
      <c r="R187" t="s">
        <v>36</v>
      </c>
    </row>
    <row r="188" spans="1:31" hidden="1" x14ac:dyDescent="0.45">
      <c r="A188">
        <v>63113</v>
      </c>
      <c r="B188" t="s">
        <v>297</v>
      </c>
      <c r="C188" t="s">
        <v>119</v>
      </c>
      <c r="F188" t="s">
        <v>296</v>
      </c>
      <c r="G188" t="s">
        <v>34</v>
      </c>
      <c r="I188" t="s">
        <v>42</v>
      </c>
      <c r="K188">
        <v>4</v>
      </c>
      <c r="L188" t="s">
        <v>34</v>
      </c>
      <c r="N188" t="s">
        <v>35</v>
      </c>
      <c r="P188" t="s">
        <v>34</v>
      </c>
      <c r="R188" t="s">
        <v>36</v>
      </c>
    </row>
    <row r="189" spans="1:31" x14ac:dyDescent="0.45">
      <c r="A189">
        <v>63114</v>
      </c>
      <c r="B189" t="s">
        <v>298</v>
      </c>
      <c r="C189" t="s">
        <v>44</v>
      </c>
      <c r="E189" t="s">
        <v>4</v>
      </c>
      <c r="G189" t="s">
        <v>34</v>
      </c>
      <c r="I189" t="s">
        <v>42</v>
      </c>
      <c r="K189">
        <v>4</v>
      </c>
      <c r="L189" s="1">
        <v>45423</v>
      </c>
      <c r="N189" t="s">
        <v>57</v>
      </c>
      <c r="O189" t="s">
        <v>58</v>
      </c>
      <c r="P189" s="1">
        <v>45455</v>
      </c>
      <c r="Q189" s="2">
        <v>45455</v>
      </c>
      <c r="R189" t="s">
        <v>38</v>
      </c>
      <c r="S189">
        <v>0</v>
      </c>
      <c r="U189" s="3" t="s">
        <v>299</v>
      </c>
      <c r="V189">
        <v>4494</v>
      </c>
      <c r="W189">
        <v>177</v>
      </c>
      <c r="X189" t="s">
        <v>72</v>
      </c>
      <c r="AA189" s="1">
        <v>45455</v>
      </c>
      <c r="AB189" t="s">
        <v>38</v>
      </c>
      <c r="AC189">
        <v>0</v>
      </c>
      <c r="AD189" s="1">
        <v>45455</v>
      </c>
      <c r="AE189" t="s">
        <v>33</v>
      </c>
    </row>
    <row r="190" spans="1:31" hidden="1" x14ac:dyDescent="0.45">
      <c r="A190">
        <v>63087</v>
      </c>
      <c r="B190" t="s">
        <v>300</v>
      </c>
      <c r="C190" t="s">
        <v>119</v>
      </c>
      <c r="G190" t="s">
        <v>34</v>
      </c>
      <c r="I190" t="s">
        <v>42</v>
      </c>
      <c r="K190">
        <v>4</v>
      </c>
      <c r="L190" t="s">
        <v>34</v>
      </c>
      <c r="N190" t="s">
        <v>35</v>
      </c>
      <c r="P190" t="s">
        <v>34</v>
      </c>
      <c r="R190" t="s">
        <v>36</v>
      </c>
    </row>
    <row r="191" spans="1:31" x14ac:dyDescent="0.45">
      <c r="A191">
        <v>66012</v>
      </c>
      <c r="B191" t="s">
        <v>301</v>
      </c>
      <c r="C191" t="s">
        <v>46</v>
      </c>
      <c r="G191" t="s">
        <v>48</v>
      </c>
      <c r="I191" t="s">
        <v>42</v>
      </c>
      <c r="K191">
        <v>4</v>
      </c>
      <c r="L191" t="s">
        <v>48</v>
      </c>
      <c r="N191" t="s">
        <v>35</v>
      </c>
      <c r="P191" t="s">
        <v>49</v>
      </c>
      <c r="R191" t="s">
        <v>36</v>
      </c>
      <c r="U191">
        <v>8.9522079385843598E-2</v>
      </c>
      <c r="V191">
        <v>415</v>
      </c>
      <c r="W191">
        <v>95</v>
      </c>
    </row>
    <row r="192" spans="1:31" hidden="1" x14ac:dyDescent="0.45">
      <c r="A192">
        <v>77023</v>
      </c>
      <c r="B192" t="s">
        <v>302</v>
      </c>
      <c r="C192" t="s">
        <v>41</v>
      </c>
      <c r="G192" t="s">
        <v>34</v>
      </c>
      <c r="I192" t="s">
        <v>42</v>
      </c>
      <c r="K192">
        <v>4</v>
      </c>
      <c r="L192" t="s">
        <v>34</v>
      </c>
      <c r="N192" t="s">
        <v>35</v>
      </c>
      <c r="P192" t="s">
        <v>34</v>
      </c>
      <c r="R192" t="s">
        <v>36</v>
      </c>
    </row>
    <row r="193" spans="1:31" hidden="1" x14ac:dyDescent="0.45">
      <c r="A193">
        <v>63086</v>
      </c>
      <c r="B193" t="s">
        <v>303</v>
      </c>
      <c r="C193" t="s">
        <v>119</v>
      </c>
      <c r="G193" t="s">
        <v>34</v>
      </c>
      <c r="I193" t="s">
        <v>42</v>
      </c>
      <c r="K193">
        <v>4</v>
      </c>
      <c r="L193" t="s">
        <v>34</v>
      </c>
      <c r="N193" t="s">
        <v>35</v>
      </c>
      <c r="P193" t="s">
        <v>34</v>
      </c>
      <c r="R193" t="s">
        <v>36</v>
      </c>
    </row>
    <row r="194" spans="1:31" x14ac:dyDescent="0.45">
      <c r="A194">
        <v>65471</v>
      </c>
      <c r="B194" t="s">
        <v>304</v>
      </c>
      <c r="C194" t="s">
        <v>52</v>
      </c>
      <c r="G194" s="1">
        <v>45411</v>
      </c>
      <c r="H194" s="1">
        <v>45411</v>
      </c>
      <c r="I194" t="s">
        <v>33</v>
      </c>
      <c r="J194" t="s">
        <v>33</v>
      </c>
      <c r="K194">
        <v>4</v>
      </c>
      <c r="L194" s="1">
        <v>45424</v>
      </c>
      <c r="M194" s="1">
        <v>45421</v>
      </c>
      <c r="N194" t="s">
        <v>57</v>
      </c>
      <c r="O194">
        <v>3</v>
      </c>
      <c r="P194" s="1">
        <v>45461</v>
      </c>
      <c r="R194" t="s">
        <v>71</v>
      </c>
      <c r="U194">
        <v>4.6914540362044101E-2</v>
      </c>
      <c r="V194">
        <v>6110</v>
      </c>
      <c r="W194">
        <v>697</v>
      </c>
    </row>
    <row r="195" spans="1:31" x14ac:dyDescent="0.45">
      <c r="A195">
        <v>65469</v>
      </c>
      <c r="B195" t="s">
        <v>305</v>
      </c>
      <c r="C195" t="s">
        <v>52</v>
      </c>
      <c r="F195" t="s">
        <v>306</v>
      </c>
      <c r="G195" s="1">
        <v>45413</v>
      </c>
      <c r="H195" s="1">
        <v>45413</v>
      </c>
      <c r="I195" t="s">
        <v>33</v>
      </c>
      <c r="J195" t="s">
        <v>33</v>
      </c>
      <c r="K195">
        <v>4</v>
      </c>
      <c r="L195" s="1">
        <v>45430</v>
      </c>
      <c r="M195" s="1">
        <v>45430</v>
      </c>
      <c r="N195" t="s">
        <v>33</v>
      </c>
      <c r="O195" t="s">
        <v>33</v>
      </c>
      <c r="P195" s="1">
        <v>45446</v>
      </c>
      <c r="Q195" s="2">
        <v>45446</v>
      </c>
      <c r="R195" t="s">
        <v>38</v>
      </c>
      <c r="S195">
        <v>0</v>
      </c>
      <c r="U195">
        <v>8.8915645753705093E-3</v>
      </c>
      <c r="V195">
        <v>5463</v>
      </c>
      <c r="W195">
        <v>113</v>
      </c>
      <c r="X195" t="s">
        <v>62</v>
      </c>
      <c r="Y195" s="1">
        <v>45446</v>
      </c>
      <c r="Z195" t="s">
        <v>33</v>
      </c>
    </row>
    <row r="196" spans="1:31" x14ac:dyDescent="0.45">
      <c r="A196">
        <v>65470</v>
      </c>
      <c r="B196" t="s">
        <v>307</v>
      </c>
      <c r="C196" t="s">
        <v>52</v>
      </c>
      <c r="F196" t="s">
        <v>306</v>
      </c>
      <c r="G196" s="1">
        <v>45417</v>
      </c>
      <c r="H196" s="1">
        <v>45417</v>
      </c>
      <c r="I196" t="s">
        <v>33</v>
      </c>
      <c r="J196" t="s">
        <v>33</v>
      </c>
      <c r="K196">
        <v>4</v>
      </c>
      <c r="L196" s="1">
        <v>45425</v>
      </c>
      <c r="M196" s="1">
        <v>45425</v>
      </c>
      <c r="N196" t="s">
        <v>33</v>
      </c>
      <c r="O196" t="s">
        <v>33</v>
      </c>
      <c r="P196" s="1">
        <v>45449</v>
      </c>
      <c r="Q196" s="2">
        <v>45449</v>
      </c>
      <c r="R196" t="s">
        <v>38</v>
      </c>
      <c r="S196">
        <v>0</v>
      </c>
      <c r="U196" s="3" t="s">
        <v>308</v>
      </c>
      <c r="V196">
        <v>6109</v>
      </c>
      <c r="W196">
        <v>173</v>
      </c>
    </row>
    <row r="197" spans="1:31" x14ac:dyDescent="0.45">
      <c r="A197">
        <v>63656</v>
      </c>
      <c r="B197" t="s">
        <v>309</v>
      </c>
      <c r="C197" t="s">
        <v>115</v>
      </c>
      <c r="D197" t="s">
        <v>116</v>
      </c>
      <c r="G197" t="s">
        <v>34</v>
      </c>
      <c r="I197" t="s">
        <v>42</v>
      </c>
      <c r="K197">
        <v>4</v>
      </c>
      <c r="L197" t="s">
        <v>34</v>
      </c>
      <c r="N197" t="s">
        <v>35</v>
      </c>
      <c r="P197" s="1">
        <v>45440</v>
      </c>
      <c r="R197" t="s">
        <v>110</v>
      </c>
      <c r="U197">
        <v>2.60571289082661E-2</v>
      </c>
      <c r="V197">
        <v>5547</v>
      </c>
      <c r="W197">
        <v>343</v>
      </c>
    </row>
    <row r="198" spans="1:31" x14ac:dyDescent="0.45">
      <c r="A198">
        <v>63656</v>
      </c>
      <c r="B198" t="s">
        <v>310</v>
      </c>
      <c r="C198" t="s">
        <v>115</v>
      </c>
      <c r="D198" t="s">
        <v>116</v>
      </c>
      <c r="G198" s="1">
        <v>45440</v>
      </c>
      <c r="I198" t="s">
        <v>57</v>
      </c>
      <c r="J198" t="s">
        <v>58</v>
      </c>
      <c r="K198">
        <v>4</v>
      </c>
      <c r="L198" s="1">
        <v>45452</v>
      </c>
      <c r="M198" s="1">
        <v>45452</v>
      </c>
      <c r="N198" t="s">
        <v>33</v>
      </c>
      <c r="O198" t="s">
        <v>33</v>
      </c>
      <c r="P198" s="1">
        <v>45505</v>
      </c>
      <c r="R198" t="s">
        <v>71</v>
      </c>
      <c r="U198">
        <v>2.60571289082661E-2</v>
      </c>
      <c r="V198">
        <v>5547</v>
      </c>
      <c r="W198">
        <v>343</v>
      </c>
      <c r="X198" t="s">
        <v>72</v>
      </c>
      <c r="AA198" s="1">
        <v>45505</v>
      </c>
      <c r="AB198" t="s">
        <v>38</v>
      </c>
      <c r="AC198">
        <v>0</v>
      </c>
      <c r="AD198" s="1">
        <v>45498</v>
      </c>
      <c r="AE198">
        <v>7</v>
      </c>
    </row>
    <row r="199" spans="1:31" x14ac:dyDescent="0.45">
      <c r="A199">
        <v>63657</v>
      </c>
      <c r="B199" t="s">
        <v>311</v>
      </c>
      <c r="C199" t="s">
        <v>115</v>
      </c>
      <c r="D199" t="s">
        <v>116</v>
      </c>
      <c r="F199" t="s">
        <v>312</v>
      </c>
      <c r="G199" t="s">
        <v>34</v>
      </c>
      <c r="I199" t="s">
        <v>42</v>
      </c>
      <c r="K199">
        <v>4</v>
      </c>
      <c r="L199" t="s">
        <v>34</v>
      </c>
      <c r="N199" t="s">
        <v>35</v>
      </c>
      <c r="P199" t="s">
        <v>34</v>
      </c>
      <c r="R199" t="s">
        <v>36</v>
      </c>
      <c r="U199">
        <v>3.7860444397439498E-2</v>
      </c>
      <c r="V199">
        <v>3524</v>
      </c>
      <c r="W199">
        <v>321</v>
      </c>
    </row>
    <row r="200" spans="1:31" x14ac:dyDescent="0.45">
      <c r="A200">
        <v>63657</v>
      </c>
      <c r="B200" t="s">
        <v>313</v>
      </c>
      <c r="C200" t="s">
        <v>115</v>
      </c>
      <c r="D200" t="s">
        <v>116</v>
      </c>
      <c r="F200" t="s">
        <v>312</v>
      </c>
      <c r="G200" s="1">
        <v>45438</v>
      </c>
      <c r="I200" t="s">
        <v>57</v>
      </c>
      <c r="J200" t="s">
        <v>58</v>
      </c>
      <c r="K200">
        <v>4</v>
      </c>
      <c r="L200" s="1">
        <v>45452</v>
      </c>
      <c r="M200" s="1">
        <v>45452</v>
      </c>
      <c r="N200" t="s">
        <v>33</v>
      </c>
      <c r="O200" t="s">
        <v>33</v>
      </c>
      <c r="P200" t="s">
        <v>49</v>
      </c>
      <c r="R200" t="s">
        <v>36</v>
      </c>
      <c r="U200">
        <v>3.7860444397439498E-2</v>
      </c>
      <c r="V200">
        <v>3524</v>
      </c>
      <c r="W200">
        <v>321</v>
      </c>
    </row>
    <row r="201" spans="1:31" hidden="1" x14ac:dyDescent="0.45">
      <c r="A201">
        <v>63468</v>
      </c>
      <c r="B201" t="s">
        <v>314</v>
      </c>
      <c r="C201" t="s">
        <v>41</v>
      </c>
      <c r="G201" t="s">
        <v>34</v>
      </c>
      <c r="I201" t="s">
        <v>42</v>
      </c>
      <c r="K201">
        <v>4</v>
      </c>
      <c r="L201" t="s">
        <v>34</v>
      </c>
      <c r="N201" t="s">
        <v>35</v>
      </c>
      <c r="P201" t="s">
        <v>34</v>
      </c>
      <c r="R201" t="s">
        <v>36</v>
      </c>
    </row>
    <row r="202" spans="1:31" x14ac:dyDescent="0.45">
      <c r="A202">
        <v>63089</v>
      </c>
      <c r="B202" t="s">
        <v>315</v>
      </c>
      <c r="C202" t="s">
        <v>52</v>
      </c>
      <c r="E202" t="s">
        <v>4</v>
      </c>
      <c r="G202" t="s">
        <v>48</v>
      </c>
      <c r="I202" t="s">
        <v>42</v>
      </c>
      <c r="K202">
        <v>4</v>
      </c>
      <c r="L202" s="1">
        <v>45456</v>
      </c>
      <c r="N202" t="s">
        <v>57</v>
      </c>
      <c r="O202" t="s">
        <v>58</v>
      </c>
      <c r="P202" s="1">
        <v>45463</v>
      </c>
      <c r="R202" t="s">
        <v>69</v>
      </c>
      <c r="U202">
        <v>3.8547100565248199E-3</v>
      </c>
      <c r="V202">
        <v>673</v>
      </c>
      <c r="W202">
        <v>6</v>
      </c>
      <c r="X202" t="s">
        <v>62</v>
      </c>
      <c r="Y202" s="1">
        <v>45463</v>
      </c>
      <c r="Z202" t="s">
        <v>33</v>
      </c>
    </row>
    <row r="203" spans="1:31" x14ac:dyDescent="0.45">
      <c r="A203">
        <v>63049</v>
      </c>
      <c r="B203" t="s">
        <v>316</v>
      </c>
      <c r="C203" t="s">
        <v>44</v>
      </c>
      <c r="G203" s="1">
        <v>45414</v>
      </c>
      <c r="H203" s="1">
        <v>45414</v>
      </c>
      <c r="I203" t="s">
        <v>33</v>
      </c>
      <c r="J203" t="s">
        <v>33</v>
      </c>
      <c r="K203">
        <v>4</v>
      </c>
      <c r="L203" s="1">
        <v>45430</v>
      </c>
      <c r="M203" s="1">
        <v>45430</v>
      </c>
      <c r="N203" t="s">
        <v>33</v>
      </c>
      <c r="O203" t="s">
        <v>33</v>
      </c>
      <c r="P203" t="s">
        <v>49</v>
      </c>
      <c r="R203" t="s">
        <v>36</v>
      </c>
      <c r="U203" s="3" t="s">
        <v>317</v>
      </c>
      <c r="V203">
        <v>3203</v>
      </c>
      <c r="W203">
        <v>89</v>
      </c>
    </row>
    <row r="204" spans="1:31" x14ac:dyDescent="0.45">
      <c r="A204">
        <v>63738</v>
      </c>
      <c r="B204" t="s">
        <v>318</v>
      </c>
      <c r="C204" t="s">
        <v>44</v>
      </c>
      <c r="G204" s="1">
        <v>45402</v>
      </c>
      <c r="H204" s="1">
        <v>45402</v>
      </c>
      <c r="I204" t="s">
        <v>33</v>
      </c>
      <c r="J204" t="s">
        <v>33</v>
      </c>
      <c r="K204">
        <v>4</v>
      </c>
      <c r="L204" s="1">
        <v>45420</v>
      </c>
      <c r="M204" s="1">
        <v>45420</v>
      </c>
      <c r="N204" t="s">
        <v>33</v>
      </c>
      <c r="O204" t="s">
        <v>33</v>
      </c>
      <c r="P204" s="1">
        <v>45462</v>
      </c>
      <c r="R204" t="s">
        <v>71</v>
      </c>
      <c r="U204">
        <v>7.2592883762361204E-3</v>
      </c>
      <c r="V204">
        <v>6704</v>
      </c>
      <c r="W204">
        <v>113</v>
      </c>
      <c r="X204" t="s">
        <v>187</v>
      </c>
      <c r="Y204" s="1">
        <v>45462</v>
      </c>
      <c r="Z204" t="s">
        <v>33</v>
      </c>
      <c r="AA204" s="1">
        <v>45459</v>
      </c>
      <c r="AB204" t="s">
        <v>38</v>
      </c>
      <c r="AC204">
        <v>-3</v>
      </c>
      <c r="AD204" s="1">
        <v>45462</v>
      </c>
      <c r="AE204" t="s">
        <v>33</v>
      </c>
    </row>
    <row r="205" spans="1:31" x14ac:dyDescent="0.45">
      <c r="A205">
        <v>63116</v>
      </c>
      <c r="B205" t="s">
        <v>319</v>
      </c>
      <c r="C205" t="s">
        <v>32</v>
      </c>
      <c r="E205" t="s">
        <v>4</v>
      </c>
      <c r="G205" s="1">
        <v>45450</v>
      </c>
      <c r="H205" s="1">
        <v>45450</v>
      </c>
      <c r="I205" t="s">
        <v>33</v>
      </c>
      <c r="J205" t="s">
        <v>33</v>
      </c>
      <c r="K205">
        <v>4</v>
      </c>
      <c r="L205" s="1">
        <v>45465</v>
      </c>
      <c r="M205" s="1">
        <v>45468</v>
      </c>
      <c r="N205" t="s">
        <v>57</v>
      </c>
      <c r="O205">
        <v>-3</v>
      </c>
      <c r="P205" t="s">
        <v>34</v>
      </c>
      <c r="R205" t="s">
        <v>36</v>
      </c>
      <c r="U205" s="3" t="s">
        <v>320</v>
      </c>
      <c r="V205">
        <v>3085</v>
      </c>
      <c r="W205">
        <v>133</v>
      </c>
    </row>
    <row r="206" spans="1:31" x14ac:dyDescent="0.45">
      <c r="A206">
        <v>63116</v>
      </c>
      <c r="B206" t="s">
        <v>321</v>
      </c>
      <c r="C206" t="s">
        <v>32</v>
      </c>
      <c r="G206" s="1">
        <v>45491</v>
      </c>
      <c r="H206" s="1">
        <v>45491</v>
      </c>
      <c r="I206" t="s">
        <v>33</v>
      </c>
      <c r="J206" t="s">
        <v>33</v>
      </c>
      <c r="K206">
        <v>4</v>
      </c>
      <c r="L206" s="1">
        <v>45500</v>
      </c>
      <c r="M206" s="1">
        <v>45500</v>
      </c>
      <c r="N206" t="s">
        <v>33</v>
      </c>
      <c r="O206" t="s">
        <v>33</v>
      </c>
      <c r="P206" t="s">
        <v>49</v>
      </c>
      <c r="R206" t="s">
        <v>36</v>
      </c>
      <c r="U206" s="3" t="s">
        <v>320</v>
      </c>
      <c r="V206">
        <v>3085</v>
      </c>
      <c r="W206">
        <v>133</v>
      </c>
    </row>
    <row r="207" spans="1:31" x14ac:dyDescent="0.45">
      <c r="A207">
        <v>63465</v>
      </c>
      <c r="B207" t="s">
        <v>322</v>
      </c>
      <c r="C207" t="s">
        <v>52</v>
      </c>
      <c r="E207" t="s">
        <v>4</v>
      </c>
      <c r="G207" s="1">
        <v>45422</v>
      </c>
      <c r="H207" s="1">
        <v>45422</v>
      </c>
      <c r="I207" t="s">
        <v>33</v>
      </c>
      <c r="J207" t="s">
        <v>33</v>
      </c>
      <c r="K207">
        <v>4</v>
      </c>
      <c r="L207" s="1">
        <v>45436</v>
      </c>
      <c r="N207" t="s">
        <v>57</v>
      </c>
      <c r="O207" t="s">
        <v>58</v>
      </c>
      <c r="P207" s="1">
        <v>45446</v>
      </c>
      <c r="Q207" s="2">
        <v>45446</v>
      </c>
      <c r="R207" t="s">
        <v>38</v>
      </c>
      <c r="S207">
        <v>0</v>
      </c>
      <c r="U207">
        <v>2.5283158472326002E-3</v>
      </c>
      <c r="V207">
        <v>5652</v>
      </c>
      <c r="W207">
        <v>33</v>
      </c>
      <c r="X207" t="s">
        <v>62</v>
      </c>
      <c r="Y207" s="1">
        <v>45446</v>
      </c>
      <c r="Z207" t="s">
        <v>33</v>
      </c>
    </row>
    <row r="208" spans="1:31" x14ac:dyDescent="0.45">
      <c r="A208">
        <v>65481</v>
      </c>
      <c r="B208" t="s">
        <v>323</v>
      </c>
      <c r="C208" t="s">
        <v>44</v>
      </c>
      <c r="G208" t="s">
        <v>48</v>
      </c>
      <c r="I208" t="s">
        <v>42</v>
      </c>
      <c r="K208">
        <v>4</v>
      </c>
      <c r="L208" t="s">
        <v>48</v>
      </c>
      <c r="N208" t="s">
        <v>35</v>
      </c>
      <c r="P208" s="1">
        <v>45462</v>
      </c>
      <c r="R208" t="s">
        <v>110</v>
      </c>
      <c r="U208">
        <v>7.9741554924532901E-3</v>
      </c>
      <c r="V208">
        <v>9066</v>
      </c>
      <c r="W208">
        <v>168</v>
      </c>
    </row>
    <row r="209" spans="1:31" x14ac:dyDescent="0.45">
      <c r="A209">
        <v>65482</v>
      </c>
      <c r="B209" t="s">
        <v>324</v>
      </c>
      <c r="C209" t="s">
        <v>115</v>
      </c>
      <c r="D209" t="s">
        <v>116</v>
      </c>
      <c r="G209" t="s">
        <v>48</v>
      </c>
      <c r="I209" t="s">
        <v>42</v>
      </c>
      <c r="K209">
        <v>4</v>
      </c>
      <c r="L209" s="1">
        <v>45412</v>
      </c>
      <c r="M209" s="1">
        <v>45412</v>
      </c>
      <c r="N209" t="s">
        <v>33</v>
      </c>
      <c r="O209" t="s">
        <v>33</v>
      </c>
      <c r="P209" t="s">
        <v>34</v>
      </c>
      <c r="R209" t="s">
        <v>36</v>
      </c>
      <c r="U209" s="3" t="s">
        <v>325</v>
      </c>
      <c r="V209">
        <v>7074</v>
      </c>
      <c r="W209">
        <v>752</v>
      </c>
    </row>
    <row r="210" spans="1:31" x14ac:dyDescent="0.45">
      <c r="A210">
        <v>65482</v>
      </c>
      <c r="B210" t="s">
        <v>326</v>
      </c>
      <c r="C210" t="s">
        <v>115</v>
      </c>
      <c r="D210" t="s">
        <v>116</v>
      </c>
      <c r="G210" s="1">
        <v>45437</v>
      </c>
      <c r="H210" s="1">
        <v>45437</v>
      </c>
      <c r="I210" t="s">
        <v>33</v>
      </c>
      <c r="J210" t="s">
        <v>33</v>
      </c>
      <c r="K210">
        <v>4</v>
      </c>
      <c r="L210" s="1">
        <v>45454</v>
      </c>
      <c r="M210" s="1">
        <v>45454</v>
      </c>
      <c r="N210" t="s">
        <v>33</v>
      </c>
      <c r="O210" t="s">
        <v>33</v>
      </c>
      <c r="P210" s="1">
        <v>45476</v>
      </c>
      <c r="Q210" s="2">
        <v>45476</v>
      </c>
      <c r="R210" t="s">
        <v>38</v>
      </c>
      <c r="S210">
        <v>0</v>
      </c>
      <c r="U210" s="3" t="s">
        <v>325</v>
      </c>
      <c r="V210">
        <v>7074</v>
      </c>
      <c r="W210">
        <v>752</v>
      </c>
      <c r="X210" t="s">
        <v>187</v>
      </c>
      <c r="Y210" s="1">
        <v>45476</v>
      </c>
      <c r="Z210" t="s">
        <v>33</v>
      </c>
      <c r="AA210" s="1">
        <v>45476</v>
      </c>
      <c r="AB210" t="s">
        <v>38</v>
      </c>
      <c r="AC210">
        <v>0</v>
      </c>
      <c r="AD210" s="1">
        <v>45476</v>
      </c>
      <c r="AE210" t="s">
        <v>33</v>
      </c>
    </row>
    <row r="211" spans="1:31" x14ac:dyDescent="0.45">
      <c r="A211">
        <v>65483</v>
      </c>
      <c r="B211" t="s">
        <v>327</v>
      </c>
      <c r="C211" t="s">
        <v>44</v>
      </c>
      <c r="G211" t="s">
        <v>48</v>
      </c>
      <c r="I211" t="s">
        <v>42</v>
      </c>
      <c r="K211">
        <v>4</v>
      </c>
      <c r="L211" s="1">
        <v>45416</v>
      </c>
      <c r="M211" s="1">
        <v>45416</v>
      </c>
      <c r="N211" t="s">
        <v>33</v>
      </c>
      <c r="O211" t="s">
        <v>33</v>
      </c>
      <c r="P211" s="1">
        <v>45481</v>
      </c>
      <c r="R211" t="s">
        <v>71</v>
      </c>
      <c r="U211" s="3" t="s">
        <v>328</v>
      </c>
      <c r="V211">
        <v>8077</v>
      </c>
      <c r="W211">
        <v>809</v>
      </c>
      <c r="X211" t="s">
        <v>72</v>
      </c>
      <c r="AA211" s="1">
        <v>45481</v>
      </c>
      <c r="AB211" t="s">
        <v>38</v>
      </c>
      <c r="AC211">
        <v>0</v>
      </c>
      <c r="AD211" s="1">
        <v>45481</v>
      </c>
      <c r="AE211" t="s">
        <v>33</v>
      </c>
    </row>
    <row r="212" spans="1:31" x14ac:dyDescent="0.45">
      <c r="A212">
        <v>65480</v>
      </c>
      <c r="B212" t="s">
        <v>329</v>
      </c>
      <c r="C212" t="s">
        <v>52</v>
      </c>
      <c r="G212" t="s">
        <v>48</v>
      </c>
      <c r="I212" t="s">
        <v>42</v>
      </c>
      <c r="K212">
        <v>4</v>
      </c>
      <c r="L212" s="1">
        <v>45429</v>
      </c>
      <c r="M212" s="1">
        <v>45429</v>
      </c>
      <c r="N212" t="s">
        <v>33</v>
      </c>
      <c r="O212" t="s">
        <v>33</v>
      </c>
      <c r="P212" s="1">
        <v>45452</v>
      </c>
      <c r="Q212" s="2">
        <v>45452</v>
      </c>
      <c r="R212" t="s">
        <v>38</v>
      </c>
      <c r="S212">
        <v>0</v>
      </c>
      <c r="U212" s="3" t="s">
        <v>330</v>
      </c>
      <c r="V212">
        <v>8056</v>
      </c>
      <c r="W212">
        <v>273</v>
      </c>
    </row>
  </sheetData>
  <autoFilter ref="A1:AE212" xr:uid="{647184C5-77E8-4B9D-891D-2246627F89F0}">
    <filterColumn colId="2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DDC7-9DA6-48C7-A63E-DBDB6CC92A46}">
  <dimension ref="A1:F158"/>
  <sheetViews>
    <sheetView tabSelected="1" workbookViewId="0">
      <selection activeCell="D2" sqref="D2"/>
    </sheetView>
  </sheetViews>
  <sheetFormatPr defaultRowHeight="14.25" x14ac:dyDescent="0.45"/>
  <cols>
    <col min="3" max="3" width="20.3984375" bestFit="1" customWidth="1"/>
  </cols>
  <sheetData>
    <row r="1" spans="1:6" x14ac:dyDescent="0.45">
      <c r="A1" t="s">
        <v>0</v>
      </c>
      <c r="B1" t="s">
        <v>1</v>
      </c>
      <c r="C1" t="s">
        <v>20</v>
      </c>
    </row>
    <row r="2" spans="1:6" x14ac:dyDescent="0.45">
      <c r="A2">
        <v>2059</v>
      </c>
      <c r="B2" t="s">
        <v>31</v>
      </c>
      <c r="C2">
        <v>2.61469808341077E-2</v>
      </c>
      <c r="E2" t="s">
        <v>331</v>
      </c>
    </row>
    <row r="3" spans="1:6" x14ac:dyDescent="0.45">
      <c r="A3">
        <v>2059</v>
      </c>
      <c r="B3" t="s">
        <v>37</v>
      </c>
      <c r="C3">
        <v>2.61469808341077E-2</v>
      </c>
      <c r="E3">
        <f>_xlfn.QUARTILE.INC($C$2:$C$158,3)</f>
        <v>5.2011628297716751E-2</v>
      </c>
      <c r="F3" t="s">
        <v>332</v>
      </c>
    </row>
    <row r="4" spans="1:6" x14ac:dyDescent="0.45">
      <c r="A4">
        <v>2059</v>
      </c>
      <c r="B4" t="s">
        <v>39</v>
      </c>
      <c r="C4">
        <v>2.61469808341077E-2</v>
      </c>
      <c r="E4">
        <f>_xlfn.QUARTILE.INC($C$2:$C$158,2)</f>
        <v>2.61469808341077E-2</v>
      </c>
      <c r="F4" t="s">
        <v>333</v>
      </c>
    </row>
    <row r="5" spans="1:6" x14ac:dyDescent="0.45">
      <c r="A5">
        <v>3348</v>
      </c>
      <c r="B5" t="s">
        <v>43</v>
      </c>
      <c r="C5">
        <v>7.5531378904458999E-3</v>
      </c>
      <c r="E5">
        <f>_xlfn.QUARTILE.INC($C$2:$C$158,1)</f>
        <v>5.7835940847413853E-3</v>
      </c>
      <c r="F5" t="s">
        <v>334</v>
      </c>
    </row>
    <row r="6" spans="1:6" x14ac:dyDescent="0.45">
      <c r="A6">
        <v>3366</v>
      </c>
      <c r="B6" t="s">
        <v>45</v>
      </c>
      <c r="C6">
        <v>4.9887598169908202E-3</v>
      </c>
    </row>
    <row r="7" spans="1:6" x14ac:dyDescent="0.45">
      <c r="A7">
        <v>2719</v>
      </c>
      <c r="B7" t="s">
        <v>51</v>
      </c>
      <c r="C7">
        <v>5.6867773347727801E-2</v>
      </c>
    </row>
    <row r="8" spans="1:6" x14ac:dyDescent="0.45">
      <c r="A8">
        <v>5642</v>
      </c>
      <c r="B8" t="s">
        <v>59</v>
      </c>
      <c r="C8">
        <v>5.1424901771240102E-2</v>
      </c>
    </row>
    <row r="9" spans="1:6" x14ac:dyDescent="0.45">
      <c r="A9">
        <v>5643</v>
      </c>
      <c r="B9" t="s">
        <v>60</v>
      </c>
      <c r="C9">
        <v>1.4797100580478499E-3</v>
      </c>
    </row>
    <row r="10" spans="1:6" x14ac:dyDescent="0.45">
      <c r="A10">
        <v>4455</v>
      </c>
      <c r="B10" t="s">
        <v>63</v>
      </c>
      <c r="C10" s="3" t="s">
        <v>64</v>
      </c>
    </row>
    <row r="11" spans="1:6" x14ac:dyDescent="0.45">
      <c r="A11">
        <v>4455</v>
      </c>
      <c r="B11" t="s">
        <v>65</v>
      </c>
      <c r="C11" s="3" t="s">
        <v>64</v>
      </c>
    </row>
    <row r="12" spans="1:6" x14ac:dyDescent="0.45">
      <c r="A12">
        <v>4456</v>
      </c>
      <c r="B12" t="s">
        <v>66</v>
      </c>
      <c r="C12" s="3" t="s">
        <v>67</v>
      </c>
    </row>
    <row r="13" spans="1:6" x14ac:dyDescent="0.45">
      <c r="A13">
        <v>4456</v>
      </c>
      <c r="B13" t="s">
        <v>68</v>
      </c>
      <c r="C13" s="3" t="s">
        <v>67</v>
      </c>
    </row>
    <row r="14" spans="1:6" x14ac:dyDescent="0.45">
      <c r="A14">
        <v>4979</v>
      </c>
      <c r="B14" t="s">
        <v>70</v>
      </c>
      <c r="C14">
        <v>9.4948419779280299E-2</v>
      </c>
    </row>
    <row r="15" spans="1:6" x14ac:dyDescent="0.45">
      <c r="A15">
        <v>4639</v>
      </c>
      <c r="B15" t="s">
        <v>73</v>
      </c>
      <c r="C15">
        <v>3.3770219694734898E-3</v>
      </c>
    </row>
    <row r="16" spans="1:6" x14ac:dyDescent="0.45">
      <c r="A16">
        <v>4639</v>
      </c>
      <c r="B16" t="s">
        <v>74</v>
      </c>
      <c r="C16">
        <v>3.3770219694734898E-3</v>
      </c>
    </row>
    <row r="17" spans="1:3" x14ac:dyDescent="0.45">
      <c r="A17">
        <v>5637</v>
      </c>
      <c r="B17" t="s">
        <v>75</v>
      </c>
      <c r="C17">
        <v>7.2215578430401403E-3</v>
      </c>
    </row>
    <row r="18" spans="1:3" x14ac:dyDescent="0.45">
      <c r="A18">
        <v>5640</v>
      </c>
      <c r="B18" t="s">
        <v>76</v>
      </c>
      <c r="C18">
        <v>1.92877214982453E-3</v>
      </c>
    </row>
    <row r="19" spans="1:3" x14ac:dyDescent="0.45">
      <c r="A19">
        <v>7657</v>
      </c>
      <c r="B19" t="s">
        <v>78</v>
      </c>
      <c r="C19" s="3" t="s">
        <v>79</v>
      </c>
    </row>
    <row r="20" spans="1:3" x14ac:dyDescent="0.45">
      <c r="A20">
        <v>57589</v>
      </c>
      <c r="B20" t="s">
        <v>81</v>
      </c>
      <c r="C20">
        <v>1.8337507724453601E-2</v>
      </c>
    </row>
    <row r="21" spans="1:3" x14ac:dyDescent="0.45">
      <c r="A21">
        <v>6199</v>
      </c>
      <c r="B21" t="s">
        <v>82</v>
      </c>
      <c r="C21">
        <v>9.3990702339045995E-2</v>
      </c>
    </row>
    <row r="22" spans="1:3" x14ac:dyDescent="0.45">
      <c r="A22">
        <v>6199</v>
      </c>
      <c r="B22" t="s">
        <v>83</v>
      </c>
      <c r="C22">
        <v>9.3990702339045995E-2</v>
      </c>
    </row>
    <row r="23" spans="1:3" x14ac:dyDescent="0.45">
      <c r="A23">
        <v>6404</v>
      </c>
      <c r="B23" t="s">
        <v>85</v>
      </c>
      <c r="C23" s="3" t="s">
        <v>86</v>
      </c>
    </row>
    <row r="24" spans="1:3" x14ac:dyDescent="0.45">
      <c r="A24">
        <v>18572</v>
      </c>
      <c r="B24" t="s">
        <v>88</v>
      </c>
      <c r="C24" s="3" t="s">
        <v>89</v>
      </c>
    </row>
    <row r="25" spans="1:3" x14ac:dyDescent="0.45">
      <c r="A25">
        <v>24130</v>
      </c>
      <c r="B25" t="s">
        <v>90</v>
      </c>
      <c r="C25">
        <v>3.2199923736962299E-3</v>
      </c>
    </row>
    <row r="26" spans="1:3" x14ac:dyDescent="0.45">
      <c r="A26">
        <v>21652</v>
      </c>
      <c r="B26" t="s">
        <v>92</v>
      </c>
      <c r="C26">
        <v>8.27982346800199E-2</v>
      </c>
    </row>
    <row r="27" spans="1:3" x14ac:dyDescent="0.45">
      <c r="A27">
        <v>24652</v>
      </c>
      <c r="B27" t="s">
        <v>94</v>
      </c>
      <c r="C27">
        <v>9.0007655125413005E-2</v>
      </c>
    </row>
    <row r="28" spans="1:3" x14ac:dyDescent="0.45">
      <c r="A28">
        <v>21591</v>
      </c>
      <c r="B28" t="s">
        <v>95</v>
      </c>
      <c r="C28" s="3" t="s">
        <v>96</v>
      </c>
    </row>
    <row r="29" spans="1:3" x14ac:dyDescent="0.45">
      <c r="A29">
        <v>21668</v>
      </c>
      <c r="B29" t="s">
        <v>103</v>
      </c>
      <c r="C29">
        <v>7.3317972086553607E-2</v>
      </c>
    </row>
    <row r="30" spans="1:3" x14ac:dyDescent="0.45">
      <c r="A30">
        <v>21668</v>
      </c>
      <c r="B30" t="s">
        <v>104</v>
      </c>
      <c r="C30">
        <v>7.3317972086553607E-2</v>
      </c>
    </row>
    <row r="31" spans="1:3" x14ac:dyDescent="0.45">
      <c r="A31">
        <v>21688</v>
      </c>
      <c r="B31" t="s">
        <v>105</v>
      </c>
      <c r="C31" s="3" t="s">
        <v>106</v>
      </c>
    </row>
    <row r="32" spans="1:3" x14ac:dyDescent="0.45">
      <c r="A32">
        <v>11101</v>
      </c>
      <c r="B32" t="s">
        <v>107</v>
      </c>
      <c r="C32">
        <v>6.4341100054098998E-3</v>
      </c>
    </row>
    <row r="33" spans="1:3" x14ac:dyDescent="0.45">
      <c r="A33">
        <v>24655</v>
      </c>
      <c r="B33" t="s">
        <v>113</v>
      </c>
      <c r="C33">
        <v>1.25156997830716E-3</v>
      </c>
    </row>
    <row r="34" spans="1:3" x14ac:dyDescent="0.45">
      <c r="A34">
        <v>26534</v>
      </c>
      <c r="B34" t="s">
        <v>114</v>
      </c>
      <c r="C34">
        <v>3.3411643133700299E-2</v>
      </c>
    </row>
    <row r="35" spans="1:3" x14ac:dyDescent="0.45">
      <c r="A35">
        <v>26534</v>
      </c>
      <c r="B35" t="s">
        <v>117</v>
      </c>
      <c r="C35">
        <v>3.3411643133700299E-2</v>
      </c>
    </row>
    <row r="36" spans="1:3" x14ac:dyDescent="0.45">
      <c r="A36">
        <v>24252</v>
      </c>
      <c r="B36" t="s">
        <v>122</v>
      </c>
      <c r="C36">
        <v>4.8873581187046801E-2</v>
      </c>
    </row>
    <row r="37" spans="1:3" x14ac:dyDescent="0.45">
      <c r="A37">
        <v>24252</v>
      </c>
      <c r="B37" t="s">
        <v>124</v>
      </c>
      <c r="C37">
        <v>4.8873581187046801E-2</v>
      </c>
    </row>
    <row r="38" spans="1:3" x14ac:dyDescent="0.45">
      <c r="A38">
        <v>24233</v>
      </c>
      <c r="B38" t="s">
        <v>125</v>
      </c>
      <c r="C38">
        <v>4.5679150348783699E-4</v>
      </c>
    </row>
    <row r="39" spans="1:3" x14ac:dyDescent="0.45">
      <c r="A39">
        <v>24232</v>
      </c>
      <c r="B39" t="s">
        <v>127</v>
      </c>
      <c r="C39">
        <v>3.1681818201486E-3</v>
      </c>
    </row>
    <row r="40" spans="1:3" x14ac:dyDescent="0.45">
      <c r="A40">
        <v>24231</v>
      </c>
      <c r="B40" t="s">
        <v>130</v>
      </c>
      <c r="C40">
        <v>3.61396936018894E-2</v>
      </c>
    </row>
    <row r="41" spans="1:3" x14ac:dyDescent="0.45">
      <c r="A41">
        <v>24107</v>
      </c>
      <c r="B41" t="s">
        <v>134</v>
      </c>
      <c r="C41">
        <v>1.1631164033329899E-3</v>
      </c>
    </row>
    <row r="42" spans="1:3" x14ac:dyDescent="0.45">
      <c r="A42">
        <v>24261</v>
      </c>
      <c r="B42" t="s">
        <v>136</v>
      </c>
      <c r="C42" s="3" t="s">
        <v>137</v>
      </c>
    </row>
    <row r="43" spans="1:3" x14ac:dyDescent="0.45">
      <c r="A43">
        <v>24263</v>
      </c>
      <c r="B43" t="s">
        <v>138</v>
      </c>
      <c r="C43">
        <v>3.3609905370443303E-2</v>
      </c>
    </row>
    <row r="44" spans="1:3" x14ac:dyDescent="0.45">
      <c r="A44">
        <v>24790</v>
      </c>
      <c r="B44" t="s">
        <v>139</v>
      </c>
      <c r="C44">
        <v>9.9842209066009196E-3</v>
      </c>
    </row>
    <row r="45" spans="1:3" x14ac:dyDescent="0.45">
      <c r="A45">
        <v>34485</v>
      </c>
      <c r="B45" t="s">
        <v>140</v>
      </c>
      <c r="C45">
        <v>4.6619883031010202E-2</v>
      </c>
    </row>
    <row r="46" spans="1:3" x14ac:dyDescent="0.45">
      <c r="A46">
        <v>53136</v>
      </c>
      <c r="B46" t="s">
        <v>141</v>
      </c>
      <c r="C46">
        <v>3.5093102769419897E-2</v>
      </c>
    </row>
    <row r="47" spans="1:3" x14ac:dyDescent="0.45">
      <c r="A47">
        <v>34079</v>
      </c>
      <c r="B47" t="s">
        <v>144</v>
      </c>
      <c r="C47">
        <v>4.6449050457635296E-3</v>
      </c>
    </row>
    <row r="48" spans="1:3" x14ac:dyDescent="0.45">
      <c r="A48">
        <v>34112</v>
      </c>
      <c r="B48" t="s">
        <v>146</v>
      </c>
      <c r="C48">
        <v>5.37718078771467E-2</v>
      </c>
    </row>
    <row r="49" spans="1:3" x14ac:dyDescent="0.45">
      <c r="A49">
        <v>34113</v>
      </c>
      <c r="B49" t="s">
        <v>147</v>
      </c>
      <c r="C49">
        <v>7.0514781592383405E-2</v>
      </c>
    </row>
    <row r="50" spans="1:3" x14ac:dyDescent="0.45">
      <c r="A50">
        <v>34115</v>
      </c>
      <c r="B50" t="s">
        <v>149</v>
      </c>
      <c r="C50" s="3" t="s">
        <v>150</v>
      </c>
    </row>
    <row r="51" spans="1:3" x14ac:dyDescent="0.45">
      <c r="A51">
        <v>34078</v>
      </c>
      <c r="B51" t="s">
        <v>151</v>
      </c>
      <c r="C51">
        <v>4.0615908933568999E-2</v>
      </c>
    </row>
    <row r="52" spans="1:3" x14ac:dyDescent="0.45">
      <c r="A52">
        <v>34118</v>
      </c>
      <c r="B52" t="s">
        <v>152</v>
      </c>
      <c r="C52" s="3" t="s">
        <v>153</v>
      </c>
    </row>
    <row r="53" spans="1:3" x14ac:dyDescent="0.45">
      <c r="A53">
        <v>34119</v>
      </c>
      <c r="B53" t="s">
        <v>154</v>
      </c>
      <c r="C53">
        <v>1.1650923266536399E-2</v>
      </c>
    </row>
    <row r="54" spans="1:3" x14ac:dyDescent="0.45">
      <c r="A54">
        <v>33966</v>
      </c>
      <c r="B54" t="s">
        <v>156</v>
      </c>
      <c r="C54" s="3" t="s">
        <v>157</v>
      </c>
    </row>
    <row r="55" spans="1:3" x14ac:dyDescent="0.45">
      <c r="A55">
        <v>33966</v>
      </c>
      <c r="B55" t="s">
        <v>158</v>
      </c>
      <c r="C55" s="3" t="s">
        <v>157</v>
      </c>
    </row>
    <row r="56" spans="1:3" x14ac:dyDescent="0.45">
      <c r="A56">
        <v>34117</v>
      </c>
      <c r="B56" t="s">
        <v>161</v>
      </c>
      <c r="C56">
        <v>4.7477070352901898E-2</v>
      </c>
    </row>
    <row r="57" spans="1:3" x14ac:dyDescent="0.45">
      <c r="A57">
        <v>34075</v>
      </c>
      <c r="B57" t="s">
        <v>163</v>
      </c>
      <c r="C57">
        <v>4.1559597711577001E-3</v>
      </c>
    </row>
    <row r="58" spans="1:3" x14ac:dyDescent="0.45">
      <c r="A58">
        <v>34073</v>
      </c>
      <c r="B58" t="s">
        <v>165</v>
      </c>
      <c r="C58">
        <v>1.4702486621419601E-2</v>
      </c>
    </row>
    <row r="59" spans="1:3" x14ac:dyDescent="0.45">
      <c r="A59">
        <v>34071</v>
      </c>
      <c r="B59" t="s">
        <v>166</v>
      </c>
      <c r="C59">
        <v>1.5697574656526499E-2</v>
      </c>
    </row>
    <row r="60" spans="1:3" x14ac:dyDescent="0.45">
      <c r="A60">
        <v>34072</v>
      </c>
      <c r="B60" t="s">
        <v>167</v>
      </c>
      <c r="C60" s="3" t="s">
        <v>169</v>
      </c>
    </row>
    <row r="61" spans="1:3" x14ac:dyDescent="0.45">
      <c r="A61">
        <v>34130</v>
      </c>
      <c r="B61" t="s">
        <v>171</v>
      </c>
      <c r="C61" s="3" t="s">
        <v>172</v>
      </c>
    </row>
    <row r="62" spans="1:3" x14ac:dyDescent="0.45">
      <c r="A62">
        <v>52597</v>
      </c>
      <c r="B62" t="s">
        <v>173</v>
      </c>
      <c r="C62">
        <v>8.6989384794571994E-3</v>
      </c>
    </row>
    <row r="63" spans="1:3" x14ac:dyDescent="0.45">
      <c r="A63">
        <v>34012</v>
      </c>
      <c r="B63" t="s">
        <v>174</v>
      </c>
      <c r="C63">
        <v>8.0378540594570599E-2</v>
      </c>
    </row>
    <row r="64" spans="1:3" x14ac:dyDescent="0.45">
      <c r="A64">
        <v>34012</v>
      </c>
      <c r="B64" t="s">
        <v>175</v>
      </c>
      <c r="C64">
        <v>8.0378540594570599E-2</v>
      </c>
    </row>
    <row r="65" spans="1:3" x14ac:dyDescent="0.45">
      <c r="A65">
        <v>34013</v>
      </c>
      <c r="B65" t="s">
        <v>176</v>
      </c>
      <c r="C65" s="3" t="s">
        <v>178</v>
      </c>
    </row>
    <row r="66" spans="1:3" x14ac:dyDescent="0.45">
      <c r="A66">
        <v>34131</v>
      </c>
      <c r="B66" t="s">
        <v>179</v>
      </c>
      <c r="C66">
        <v>5.5508218273812297E-2</v>
      </c>
    </row>
    <row r="67" spans="1:3" x14ac:dyDescent="0.45">
      <c r="A67">
        <v>34133</v>
      </c>
      <c r="B67" t="s">
        <v>180</v>
      </c>
      <c r="C67">
        <v>7.9048657287045798E-2</v>
      </c>
    </row>
    <row r="68" spans="1:3" x14ac:dyDescent="0.45">
      <c r="A68">
        <v>34132</v>
      </c>
      <c r="B68" t="s">
        <v>181</v>
      </c>
      <c r="C68" s="3" t="s">
        <v>182</v>
      </c>
    </row>
    <row r="69" spans="1:3" x14ac:dyDescent="0.45">
      <c r="A69">
        <v>34045</v>
      </c>
      <c r="B69" t="s">
        <v>183</v>
      </c>
      <c r="C69" s="3" t="s">
        <v>184</v>
      </c>
    </row>
    <row r="70" spans="1:3" x14ac:dyDescent="0.45">
      <c r="A70">
        <v>34046</v>
      </c>
      <c r="B70" t="s">
        <v>185</v>
      </c>
      <c r="C70">
        <v>5.79550861457167E-3</v>
      </c>
    </row>
    <row r="71" spans="1:3" x14ac:dyDescent="0.45">
      <c r="A71">
        <v>34090</v>
      </c>
      <c r="B71" t="s">
        <v>186</v>
      </c>
      <c r="C71">
        <v>6.2369834286792698E-3</v>
      </c>
    </row>
    <row r="72" spans="1:3" x14ac:dyDescent="0.45">
      <c r="A72">
        <v>33985</v>
      </c>
      <c r="B72" t="s">
        <v>188</v>
      </c>
      <c r="C72">
        <v>2.1731602343612599E-2</v>
      </c>
    </row>
    <row r="73" spans="1:3" x14ac:dyDescent="0.45">
      <c r="A73">
        <v>33985</v>
      </c>
      <c r="B73" t="s">
        <v>189</v>
      </c>
      <c r="C73">
        <v>2.1731602343612599E-2</v>
      </c>
    </row>
    <row r="74" spans="1:3" x14ac:dyDescent="0.45">
      <c r="A74">
        <v>33984</v>
      </c>
      <c r="B74" t="s">
        <v>190</v>
      </c>
      <c r="C74">
        <v>3.97063245259432E-2</v>
      </c>
    </row>
    <row r="75" spans="1:3" x14ac:dyDescent="0.45">
      <c r="A75">
        <v>33984</v>
      </c>
      <c r="B75" t="s">
        <v>191</v>
      </c>
      <c r="C75">
        <v>3.97063245259432E-2</v>
      </c>
    </row>
    <row r="76" spans="1:3" x14ac:dyDescent="0.45">
      <c r="A76">
        <v>33845</v>
      </c>
      <c r="B76" t="s">
        <v>192</v>
      </c>
      <c r="C76">
        <v>4.4580740497934899E-3</v>
      </c>
    </row>
    <row r="77" spans="1:3" x14ac:dyDescent="0.45">
      <c r="A77">
        <v>34087</v>
      </c>
      <c r="B77" t="s">
        <v>194</v>
      </c>
      <c r="C77" s="3" t="s">
        <v>195</v>
      </c>
    </row>
    <row r="78" spans="1:3" x14ac:dyDescent="0.45">
      <c r="A78">
        <v>48459</v>
      </c>
      <c r="B78" t="s">
        <v>196</v>
      </c>
      <c r="C78" s="3" t="s">
        <v>197</v>
      </c>
    </row>
    <row r="79" spans="1:3" x14ac:dyDescent="0.45">
      <c r="A79">
        <v>48395</v>
      </c>
      <c r="B79" t="s">
        <v>198</v>
      </c>
      <c r="C79">
        <v>1.1296944898111399E-2</v>
      </c>
    </row>
    <row r="80" spans="1:3" x14ac:dyDescent="0.45">
      <c r="A80">
        <v>48455</v>
      </c>
      <c r="B80" t="s">
        <v>199</v>
      </c>
      <c r="C80">
        <v>6.3809333215309003E-2</v>
      </c>
    </row>
    <row r="81" spans="1:3" x14ac:dyDescent="0.45">
      <c r="A81">
        <v>58629</v>
      </c>
      <c r="B81" t="s">
        <v>200</v>
      </c>
      <c r="C81">
        <v>4.4578402866182601E-2</v>
      </c>
    </row>
    <row r="82" spans="1:3" x14ac:dyDescent="0.45">
      <c r="A82">
        <v>48473</v>
      </c>
      <c r="B82" t="s">
        <v>201</v>
      </c>
      <c r="C82" s="3" t="s">
        <v>202</v>
      </c>
    </row>
    <row r="83" spans="1:3" x14ac:dyDescent="0.45">
      <c r="A83">
        <v>48474</v>
      </c>
      <c r="B83" t="s">
        <v>203</v>
      </c>
      <c r="C83" s="3" t="s">
        <v>204</v>
      </c>
    </row>
    <row r="84" spans="1:3" x14ac:dyDescent="0.45">
      <c r="A84">
        <v>48477</v>
      </c>
      <c r="B84" t="s">
        <v>205</v>
      </c>
      <c r="C84" s="3" t="s">
        <v>206</v>
      </c>
    </row>
    <row r="85" spans="1:3" x14ac:dyDescent="0.45">
      <c r="A85">
        <v>48476</v>
      </c>
      <c r="B85" t="s">
        <v>207</v>
      </c>
      <c r="C85" s="3" t="s">
        <v>208</v>
      </c>
    </row>
    <row r="86" spans="1:3" x14ac:dyDescent="0.45">
      <c r="A86">
        <v>48463</v>
      </c>
      <c r="B86" t="s">
        <v>213</v>
      </c>
      <c r="C86" s="3" t="s">
        <v>214</v>
      </c>
    </row>
    <row r="87" spans="1:3" x14ac:dyDescent="0.45">
      <c r="A87">
        <v>48463</v>
      </c>
      <c r="B87" t="s">
        <v>215</v>
      </c>
      <c r="C87" s="3" t="s">
        <v>214</v>
      </c>
    </row>
    <row r="88" spans="1:3" x14ac:dyDescent="0.45">
      <c r="A88">
        <v>48468</v>
      </c>
      <c r="B88" t="s">
        <v>216</v>
      </c>
      <c r="C88" s="3" t="s">
        <v>218</v>
      </c>
    </row>
    <row r="89" spans="1:3" x14ac:dyDescent="0.45">
      <c r="A89">
        <v>48457</v>
      </c>
      <c r="B89" t="s">
        <v>219</v>
      </c>
      <c r="C89">
        <v>4.3127558847373302E-4</v>
      </c>
    </row>
    <row r="90" spans="1:3" x14ac:dyDescent="0.45">
      <c r="A90">
        <v>48434</v>
      </c>
      <c r="B90" t="s">
        <v>220</v>
      </c>
      <c r="C90">
        <v>2.8461072547750599E-2</v>
      </c>
    </row>
    <row r="91" spans="1:3" x14ac:dyDescent="0.45">
      <c r="A91">
        <v>48470</v>
      </c>
      <c r="B91" t="s">
        <v>222</v>
      </c>
      <c r="C91">
        <v>5.6537635771867198E-2</v>
      </c>
    </row>
    <row r="92" spans="1:3" x14ac:dyDescent="0.45">
      <c r="A92">
        <v>48470</v>
      </c>
      <c r="B92" t="s">
        <v>223</v>
      </c>
      <c r="C92">
        <v>5.6537635771867198E-2</v>
      </c>
    </row>
    <row r="93" spans="1:3" x14ac:dyDescent="0.45">
      <c r="A93">
        <v>48465</v>
      </c>
      <c r="B93" t="s">
        <v>224</v>
      </c>
      <c r="C93">
        <v>4.2664412221862298E-2</v>
      </c>
    </row>
    <row r="94" spans="1:3" x14ac:dyDescent="0.45">
      <c r="A94">
        <v>48747</v>
      </c>
      <c r="B94" t="s">
        <v>225</v>
      </c>
      <c r="C94" s="3" t="s">
        <v>227</v>
      </c>
    </row>
    <row r="95" spans="1:3" x14ac:dyDescent="0.45">
      <c r="A95">
        <v>48747</v>
      </c>
      <c r="B95" t="s">
        <v>228</v>
      </c>
      <c r="C95" s="3" t="s">
        <v>227</v>
      </c>
    </row>
    <row r="96" spans="1:3" x14ac:dyDescent="0.45">
      <c r="A96">
        <v>48747</v>
      </c>
      <c r="B96" t="s">
        <v>229</v>
      </c>
      <c r="C96" s="3" t="s">
        <v>227</v>
      </c>
    </row>
    <row r="97" spans="1:3" x14ac:dyDescent="0.45">
      <c r="A97">
        <v>48747</v>
      </c>
      <c r="B97" t="s">
        <v>230</v>
      </c>
      <c r="C97" s="3" t="s">
        <v>227</v>
      </c>
    </row>
    <row r="98" spans="1:3" x14ac:dyDescent="0.45">
      <c r="A98">
        <v>48458</v>
      </c>
      <c r="B98" t="s">
        <v>231</v>
      </c>
      <c r="C98" s="3" t="s">
        <v>233</v>
      </c>
    </row>
    <row r="99" spans="1:3" x14ac:dyDescent="0.45">
      <c r="A99">
        <v>48458</v>
      </c>
      <c r="B99" t="s">
        <v>234</v>
      </c>
      <c r="C99" s="3" t="s">
        <v>233</v>
      </c>
    </row>
    <row r="100" spans="1:3" x14ac:dyDescent="0.45">
      <c r="A100">
        <v>48428</v>
      </c>
      <c r="B100" t="s">
        <v>235</v>
      </c>
      <c r="C100">
        <v>5.7478504952505304E-3</v>
      </c>
    </row>
    <row r="101" spans="1:3" x14ac:dyDescent="0.45">
      <c r="A101">
        <v>48444</v>
      </c>
      <c r="B101" t="s">
        <v>236</v>
      </c>
      <c r="C101">
        <v>9.17770488013121E-2</v>
      </c>
    </row>
    <row r="102" spans="1:3" x14ac:dyDescent="0.45">
      <c r="A102">
        <v>48444</v>
      </c>
      <c r="B102" t="s">
        <v>237</v>
      </c>
      <c r="C102">
        <v>9.17770488013121E-2</v>
      </c>
    </row>
    <row r="103" spans="1:3" x14ac:dyDescent="0.45">
      <c r="A103">
        <v>48436</v>
      </c>
      <c r="B103" t="s">
        <v>238</v>
      </c>
      <c r="C103" s="3" t="s">
        <v>239</v>
      </c>
    </row>
    <row r="104" spans="1:3" x14ac:dyDescent="0.45">
      <c r="A104">
        <v>48446</v>
      </c>
      <c r="B104" t="s">
        <v>240</v>
      </c>
      <c r="C104">
        <v>5.76688192016361E-2</v>
      </c>
    </row>
    <row r="105" spans="1:3" x14ac:dyDescent="0.45">
      <c r="A105">
        <v>48446</v>
      </c>
      <c r="B105" t="s">
        <v>241</v>
      </c>
      <c r="C105">
        <v>5.76688192016361E-2</v>
      </c>
    </row>
    <row r="106" spans="1:3" x14ac:dyDescent="0.45">
      <c r="A106">
        <v>48448</v>
      </c>
      <c r="B106" t="s">
        <v>243</v>
      </c>
      <c r="C106" s="3" t="s">
        <v>244</v>
      </c>
    </row>
    <row r="107" spans="1:3" x14ac:dyDescent="0.45">
      <c r="A107">
        <v>48397</v>
      </c>
      <c r="B107" t="s">
        <v>245</v>
      </c>
      <c r="C107">
        <v>1.26801398663549E-3</v>
      </c>
    </row>
    <row r="108" spans="1:3" x14ac:dyDescent="0.45">
      <c r="A108">
        <v>48392</v>
      </c>
      <c r="B108" t="s">
        <v>246</v>
      </c>
      <c r="C108">
        <v>2.0626228233803799E-2</v>
      </c>
    </row>
    <row r="109" spans="1:3" x14ac:dyDescent="0.45">
      <c r="A109">
        <v>48445</v>
      </c>
      <c r="B109" t="s">
        <v>247</v>
      </c>
      <c r="C109" s="3" t="s">
        <v>248</v>
      </c>
    </row>
    <row r="110" spans="1:3" x14ac:dyDescent="0.45">
      <c r="A110">
        <v>48445</v>
      </c>
      <c r="B110" t="s">
        <v>249</v>
      </c>
      <c r="C110" s="3" t="s">
        <v>248</v>
      </c>
    </row>
    <row r="111" spans="1:3" x14ac:dyDescent="0.45">
      <c r="A111">
        <v>48796</v>
      </c>
      <c r="B111" t="s">
        <v>250</v>
      </c>
      <c r="C111">
        <v>9.5989576866856094E-3</v>
      </c>
    </row>
    <row r="112" spans="1:3" x14ac:dyDescent="0.45">
      <c r="A112">
        <v>48797</v>
      </c>
      <c r="B112" t="s">
        <v>252</v>
      </c>
      <c r="C112" s="3" t="s">
        <v>253</v>
      </c>
    </row>
    <row r="113" spans="1:3" x14ac:dyDescent="0.45">
      <c r="A113">
        <v>48475</v>
      </c>
      <c r="B113" t="s">
        <v>257</v>
      </c>
      <c r="C113">
        <v>8.2219524473622296E-2</v>
      </c>
    </row>
    <row r="114" spans="1:3" x14ac:dyDescent="0.45">
      <c r="A114">
        <v>48437</v>
      </c>
      <c r="B114" t="s">
        <v>258</v>
      </c>
      <c r="C114">
        <v>4.2107374520109403E-2</v>
      </c>
    </row>
    <row r="115" spans="1:3" x14ac:dyDescent="0.45">
      <c r="A115">
        <v>48437</v>
      </c>
      <c r="B115" t="s">
        <v>259</v>
      </c>
      <c r="C115">
        <v>4.2107374520109403E-2</v>
      </c>
    </row>
    <row r="116" spans="1:3" x14ac:dyDescent="0.45">
      <c r="A116">
        <v>48764</v>
      </c>
      <c r="B116" t="s">
        <v>260</v>
      </c>
      <c r="C116">
        <v>1.1852098479961401E-3</v>
      </c>
    </row>
    <row r="117" spans="1:3" x14ac:dyDescent="0.45">
      <c r="A117">
        <v>48765</v>
      </c>
      <c r="B117" t="s">
        <v>261</v>
      </c>
      <c r="C117">
        <v>1.48561541184884E-3</v>
      </c>
    </row>
    <row r="118" spans="1:3" x14ac:dyDescent="0.45">
      <c r="A118">
        <v>48765</v>
      </c>
      <c r="B118" t="s">
        <v>262</v>
      </c>
      <c r="C118">
        <v>1.48561541184884E-3</v>
      </c>
    </row>
    <row r="119" spans="1:3" x14ac:dyDescent="0.45">
      <c r="A119">
        <v>48439</v>
      </c>
      <c r="B119" t="s">
        <v>264</v>
      </c>
      <c r="C119" s="3" t="s">
        <v>265</v>
      </c>
    </row>
    <row r="120" spans="1:3" x14ac:dyDescent="0.45">
      <c r="A120">
        <v>48439</v>
      </c>
      <c r="B120" t="s">
        <v>266</v>
      </c>
      <c r="C120" s="3" t="s">
        <v>265</v>
      </c>
    </row>
    <row r="121" spans="1:3" x14ac:dyDescent="0.45">
      <c r="A121">
        <v>48464</v>
      </c>
      <c r="B121" t="s">
        <v>267</v>
      </c>
      <c r="C121">
        <v>2.3065770253475901E-3</v>
      </c>
    </row>
    <row r="122" spans="1:3" x14ac:dyDescent="0.45">
      <c r="A122">
        <v>48447</v>
      </c>
      <c r="B122" t="s">
        <v>268</v>
      </c>
      <c r="C122">
        <v>6.6185490808080404E-3</v>
      </c>
    </row>
    <row r="123" spans="1:3" x14ac:dyDescent="0.45">
      <c r="A123">
        <v>48466</v>
      </c>
      <c r="B123" t="s">
        <v>269</v>
      </c>
      <c r="C123" s="3" t="s">
        <v>270</v>
      </c>
    </row>
    <row r="124" spans="1:3" x14ac:dyDescent="0.45">
      <c r="A124">
        <v>48398</v>
      </c>
      <c r="B124" t="s">
        <v>273</v>
      </c>
      <c r="C124" s="3" t="s">
        <v>274</v>
      </c>
    </row>
    <row r="125" spans="1:3" x14ac:dyDescent="0.45">
      <c r="A125">
        <v>48398</v>
      </c>
      <c r="B125" t="s">
        <v>275</v>
      </c>
      <c r="C125" s="3" t="s">
        <v>274</v>
      </c>
    </row>
    <row r="126" spans="1:3" x14ac:dyDescent="0.45">
      <c r="A126">
        <v>48393</v>
      </c>
      <c r="B126" t="s">
        <v>276</v>
      </c>
      <c r="C126">
        <v>1.6472852983429301E-3</v>
      </c>
    </row>
    <row r="127" spans="1:3" x14ac:dyDescent="0.45">
      <c r="A127">
        <v>48471</v>
      </c>
      <c r="B127" t="s">
        <v>277</v>
      </c>
      <c r="C127">
        <v>5.0984089567382403E-3</v>
      </c>
    </row>
    <row r="128" spans="1:3" x14ac:dyDescent="0.45">
      <c r="A128">
        <v>48469</v>
      </c>
      <c r="B128" t="s">
        <v>278</v>
      </c>
      <c r="C128" s="3" t="s">
        <v>279</v>
      </c>
    </row>
    <row r="129" spans="1:3" x14ac:dyDescent="0.45">
      <c r="A129">
        <v>65446</v>
      </c>
      <c r="B129" t="s">
        <v>280</v>
      </c>
      <c r="C129">
        <v>6.1285573998977001E-2</v>
      </c>
    </row>
    <row r="130" spans="1:3" x14ac:dyDescent="0.45">
      <c r="A130">
        <v>65446</v>
      </c>
      <c r="B130" t="s">
        <v>281</v>
      </c>
      <c r="C130">
        <v>6.1285573998977001E-2</v>
      </c>
    </row>
    <row r="131" spans="1:3" x14ac:dyDescent="0.45">
      <c r="A131">
        <v>65447</v>
      </c>
      <c r="B131" t="s">
        <v>282</v>
      </c>
      <c r="C131">
        <v>4.2114854490131401E-2</v>
      </c>
    </row>
    <row r="132" spans="1:3" x14ac:dyDescent="0.45">
      <c r="A132">
        <v>65447</v>
      </c>
      <c r="B132" t="s">
        <v>283</v>
      </c>
      <c r="C132">
        <v>4.2114854490131401E-2</v>
      </c>
    </row>
    <row r="133" spans="1:3" x14ac:dyDescent="0.45">
      <c r="A133">
        <v>65444</v>
      </c>
      <c r="B133" t="s">
        <v>284</v>
      </c>
      <c r="C133" s="3" t="s">
        <v>285</v>
      </c>
    </row>
    <row r="134" spans="1:3" x14ac:dyDescent="0.45">
      <c r="A134">
        <v>65444</v>
      </c>
      <c r="B134" t="s">
        <v>286</v>
      </c>
      <c r="C134" s="3" t="s">
        <v>285</v>
      </c>
    </row>
    <row r="135" spans="1:3" x14ac:dyDescent="0.45">
      <c r="A135">
        <v>65453</v>
      </c>
      <c r="B135" t="s">
        <v>287</v>
      </c>
      <c r="C135">
        <v>2.6662917970591502E-4</v>
      </c>
    </row>
    <row r="136" spans="1:3" x14ac:dyDescent="0.45">
      <c r="A136">
        <v>63115</v>
      </c>
      <c r="B136" t="s">
        <v>289</v>
      </c>
      <c r="C136" s="3" t="s">
        <v>290</v>
      </c>
    </row>
    <row r="137" spans="1:3" x14ac:dyDescent="0.45">
      <c r="A137">
        <v>63044</v>
      </c>
      <c r="B137" t="s">
        <v>292</v>
      </c>
      <c r="C137">
        <v>8.4098378126003202E-3</v>
      </c>
    </row>
    <row r="138" spans="1:3" x14ac:dyDescent="0.45">
      <c r="A138">
        <v>63044</v>
      </c>
      <c r="B138" t="s">
        <v>293</v>
      </c>
      <c r="C138">
        <v>8.4098378126003202E-3</v>
      </c>
    </row>
    <row r="139" spans="1:3" x14ac:dyDescent="0.45">
      <c r="A139">
        <v>63114</v>
      </c>
      <c r="B139" t="s">
        <v>298</v>
      </c>
      <c r="C139" s="3" t="s">
        <v>299</v>
      </c>
    </row>
    <row r="140" spans="1:3" x14ac:dyDescent="0.45">
      <c r="A140">
        <v>66012</v>
      </c>
      <c r="B140" t="s">
        <v>301</v>
      </c>
      <c r="C140">
        <v>8.9522079385843598E-2</v>
      </c>
    </row>
    <row r="141" spans="1:3" x14ac:dyDescent="0.45">
      <c r="A141">
        <v>65471</v>
      </c>
      <c r="B141" t="s">
        <v>304</v>
      </c>
      <c r="C141">
        <v>4.6914540362044101E-2</v>
      </c>
    </row>
    <row r="142" spans="1:3" x14ac:dyDescent="0.45">
      <c r="A142">
        <v>65469</v>
      </c>
      <c r="B142" t="s">
        <v>305</v>
      </c>
      <c r="C142">
        <v>8.8915645753705093E-3</v>
      </c>
    </row>
    <row r="143" spans="1:3" x14ac:dyDescent="0.45">
      <c r="A143">
        <v>65470</v>
      </c>
      <c r="B143" t="s">
        <v>307</v>
      </c>
      <c r="C143" s="3" t="s">
        <v>308</v>
      </c>
    </row>
    <row r="144" spans="1:3" x14ac:dyDescent="0.45">
      <c r="A144">
        <v>63656</v>
      </c>
      <c r="B144" t="s">
        <v>309</v>
      </c>
      <c r="C144">
        <v>2.60571289082661E-2</v>
      </c>
    </row>
    <row r="145" spans="1:3" x14ac:dyDescent="0.45">
      <c r="A145">
        <v>63656</v>
      </c>
      <c r="B145" t="s">
        <v>310</v>
      </c>
      <c r="C145">
        <v>2.60571289082661E-2</v>
      </c>
    </row>
    <row r="146" spans="1:3" x14ac:dyDescent="0.45">
      <c r="A146">
        <v>63657</v>
      </c>
      <c r="B146" t="s">
        <v>311</v>
      </c>
      <c r="C146">
        <v>3.7860444397439498E-2</v>
      </c>
    </row>
    <row r="147" spans="1:3" x14ac:dyDescent="0.45">
      <c r="A147">
        <v>63657</v>
      </c>
      <c r="B147" t="s">
        <v>313</v>
      </c>
      <c r="C147">
        <v>3.7860444397439498E-2</v>
      </c>
    </row>
    <row r="148" spans="1:3" x14ac:dyDescent="0.45">
      <c r="A148">
        <v>63089</v>
      </c>
      <c r="B148" t="s">
        <v>315</v>
      </c>
      <c r="C148">
        <v>3.8547100565248199E-3</v>
      </c>
    </row>
    <row r="149" spans="1:3" x14ac:dyDescent="0.45">
      <c r="A149">
        <v>63049</v>
      </c>
      <c r="B149" t="s">
        <v>316</v>
      </c>
      <c r="C149" s="3" t="s">
        <v>317</v>
      </c>
    </row>
    <row r="150" spans="1:3" x14ac:dyDescent="0.45">
      <c r="A150">
        <v>63738</v>
      </c>
      <c r="B150" t="s">
        <v>318</v>
      </c>
      <c r="C150">
        <v>7.2592883762361204E-3</v>
      </c>
    </row>
    <row r="151" spans="1:3" x14ac:dyDescent="0.45">
      <c r="A151">
        <v>63116</v>
      </c>
      <c r="B151" t="s">
        <v>319</v>
      </c>
      <c r="C151" s="3" t="s">
        <v>320</v>
      </c>
    </row>
    <row r="152" spans="1:3" x14ac:dyDescent="0.45">
      <c r="A152">
        <v>63116</v>
      </c>
      <c r="B152" t="s">
        <v>321</v>
      </c>
      <c r="C152" s="3" t="s">
        <v>320</v>
      </c>
    </row>
    <row r="153" spans="1:3" x14ac:dyDescent="0.45">
      <c r="A153">
        <v>63465</v>
      </c>
      <c r="B153" t="s">
        <v>322</v>
      </c>
      <c r="C153">
        <v>2.5283158472326002E-3</v>
      </c>
    </row>
    <row r="154" spans="1:3" x14ac:dyDescent="0.45">
      <c r="A154">
        <v>65481</v>
      </c>
      <c r="B154" t="s">
        <v>323</v>
      </c>
      <c r="C154">
        <v>7.9741554924532901E-3</v>
      </c>
    </row>
    <row r="155" spans="1:3" x14ac:dyDescent="0.45">
      <c r="A155">
        <v>65482</v>
      </c>
      <c r="B155" t="s">
        <v>324</v>
      </c>
      <c r="C155" s="3" t="s">
        <v>325</v>
      </c>
    </row>
    <row r="156" spans="1:3" x14ac:dyDescent="0.45">
      <c r="A156">
        <v>65482</v>
      </c>
      <c r="B156" t="s">
        <v>326</v>
      </c>
      <c r="C156" s="3" t="s">
        <v>325</v>
      </c>
    </row>
    <row r="157" spans="1:3" x14ac:dyDescent="0.45">
      <c r="A157">
        <v>65483</v>
      </c>
      <c r="B157" t="s">
        <v>327</v>
      </c>
      <c r="C157" s="3" t="s">
        <v>328</v>
      </c>
    </row>
    <row r="158" spans="1:3" x14ac:dyDescent="0.45">
      <c r="A158">
        <v>65480</v>
      </c>
      <c r="B158" t="s">
        <v>329</v>
      </c>
      <c r="C158" s="3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Schackwitz</cp:lastModifiedBy>
  <dcterms:created xsi:type="dcterms:W3CDTF">2026-01-09T10:14:00Z</dcterms:created>
  <dcterms:modified xsi:type="dcterms:W3CDTF">2026-01-09T10:14:00Z</dcterms:modified>
</cp:coreProperties>
</file>