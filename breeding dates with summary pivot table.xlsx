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-Utils/"/>
    </mc:Choice>
  </mc:AlternateContent>
  <xr:revisionPtr revIDLastSave="0" documentId="8_{5ECFF561-4704-48AE-9B76-4A34584D039B}" xr6:coauthVersionLast="47" xr6:coauthVersionMax="47" xr10:uidLastSave="{00000000-0000-0000-0000-000000000000}"/>
  <bookViews>
    <workbookView xWindow="-98" yWindow="-98" windowWidth="21795" windowHeight="13875" xr2:uid="{94FA05B9-17FB-425F-82A1-FCFF0C8AF7E7}"/>
  </bookViews>
  <sheets>
    <sheet name="Sheet1" sheetId="2" r:id="rId1"/>
    <sheet name="breeding dates" sheetId="1" r:id="rId2"/>
  </sheets>
  <definedNames>
    <definedName name="_xlnm._FilterDatabase" localSheetId="1" hidden="1">'breeding dates'!$A$1:$U$212</definedName>
  </definedNames>
  <calcPr calcId="0"/>
  <pivotCaches>
    <pivotCache cacheId="4" r:id="rId3"/>
  </pivotCaches>
</workbook>
</file>

<file path=xl/calcChain.xml><?xml version="1.0" encoding="utf-8"?>
<calcChain xmlns="http://schemas.openxmlformats.org/spreadsheetml/2006/main">
  <c r="G7" i="2" l="1"/>
  <c r="G6" i="2"/>
  <c r="D9" i="2"/>
  <c r="D5" i="2"/>
  <c r="D6" i="2" s="1"/>
</calcChain>
</file>

<file path=xl/sharedStrings.xml><?xml version="1.0" encoding="utf-8"?>
<sst xmlns="http://schemas.openxmlformats.org/spreadsheetml/2006/main" count="2625" uniqueCount="673">
  <si>
    <t>Site ID</t>
  </si>
  <si>
    <t>Group</t>
  </si>
  <si>
    <t>Name</t>
  </si>
  <si>
    <t>Pretty Name</t>
  </si>
  <si>
    <t>Comment</t>
  </si>
  <si>
    <t>Deployment Start</t>
  </si>
  <si>
    <t>Deployment End</t>
  </si>
  <si>
    <t>Breeding Type</t>
  </si>
  <si>
    <t>Complex Types</t>
  </si>
  <si>
    <t>Pulse Name</t>
  </si>
  <si>
    <t>Outcome</t>
  </si>
  <si>
    <t>Substrate</t>
  </si>
  <si>
    <t>Colony Size</t>
  </si>
  <si>
    <t>mcstart</t>
  </si>
  <si>
    <t>incstart</t>
  </si>
  <si>
    <t>hatch</t>
  </si>
  <si>
    <t>fledgestart</t>
  </si>
  <si>
    <t>fledgedisp</t>
  </si>
  <si>
    <t>abandon</t>
  </si>
  <si>
    <t>partial abandon</t>
  </si>
  <si>
    <t>Solano County</t>
  </si>
  <si>
    <t>2017 Rush Ranch</t>
  </si>
  <si>
    <t>Sequential</t>
  </si>
  <si>
    <t>2017 Rush Ranch p1</t>
  </si>
  <si>
    <t>Abandoned</t>
  </si>
  <si>
    <t>Bulrush, cattails</t>
  </si>
  <si>
    <t>ND</t>
  </si>
  <si>
    <t>2017 Rush Ranch p2</t>
  </si>
  <si>
    <t>Successful</t>
  </si>
  <si>
    <t>2017 Rush Ranch p3</t>
  </si>
  <si>
    <t>Iron Point</t>
  </si>
  <si>
    <t>2018 Iron Point</t>
  </si>
  <si>
    <t>No Colony</t>
  </si>
  <si>
    <t>2018 Iron Point p1</t>
  </si>
  <si>
    <t>Himalayan blackberry, willow</t>
  </si>
  <si>
    <t>pre</t>
  </si>
  <si>
    <t>Markham Ravine</t>
  </si>
  <si>
    <t>2018 Markham Ravine Main</t>
  </si>
  <si>
    <t>2018 Markham Ravine</t>
  </si>
  <si>
    <t>Asynchronous</t>
  </si>
  <si>
    <t>2018 Markham Ravine p1</t>
  </si>
  <si>
    <t>Himalayan blackberry</t>
  </si>
  <si>
    <t>2018 Markham Ravine westside</t>
  </si>
  <si>
    <t>2018 Markham Ravine - West</t>
  </si>
  <si>
    <t>2018 Markham Ravine Main:</t>
  </si>
  <si>
    <t>Unknown</t>
  </si>
  <si>
    <t>2018 Markham Ravine - West p1</t>
  </si>
  <si>
    <t>post</t>
  </si>
  <si>
    <t>Placer County</t>
  </si>
  <si>
    <t>2018 Red Wing Ranch</t>
  </si>
  <si>
    <t>2018 Red Wing Ranch p1</t>
  </si>
  <si>
    <t>Himalayan blackberry, Bulrush, cattails</t>
  </si>
  <si>
    <t>2018 Rush Ranch</t>
  </si>
  <si>
    <t>Simple</t>
  </si>
  <si>
    <t>2018 Rush Ranch p1</t>
  </si>
  <si>
    <t>San Jacinto Wildlife Area</t>
  </si>
  <si>
    <t>2018 SJWA-rose-2</t>
  </si>
  <si>
    <t>2018 San Jacinto Wildlife Area - Bridge St. Pond</t>
  </si>
  <si>
    <t>2018 San Jacinto Wildlife Area - Bridge St. Pond p1</t>
  </si>
  <si>
    <t>2018 SJWA-rose-1</t>
  </si>
  <si>
    <t>2018 San Jacinto Wildlife Area - Little Ramona</t>
  </si>
  <si>
    <t>2018 SJWA Little Ramona:</t>
  </si>
  <si>
    <t>2018 San Jacinto Wildlife Area - Little Ramona p1</t>
  </si>
  <si>
    <t>2018 SJWA WSS</t>
  </si>
  <si>
    <t>2018 SJWA Little Ramona</t>
  </si>
  <si>
    <t>2018 SJWA Little Ramona p1</t>
  </si>
  <si>
    <t>~4/12/2018</t>
  </si>
  <si>
    <t>~4/24/2018</t>
  </si>
  <si>
    <t>Colusa NWR</t>
  </si>
  <si>
    <t>2019 Colusa NWR 27-1</t>
  </si>
  <si>
    <t>2019 Colusa NWR T27.1</t>
  </si>
  <si>
    <t>2019 Colusa NWR T27.1 p1</t>
  </si>
  <si>
    <t>2019 Colusa NWR 27-2</t>
  </si>
  <si>
    <t>2019 Colusa NWR T27.2</t>
  </si>
  <si>
    <t>2019 Colusa NWR T27.2 p1</t>
  </si>
  <si>
    <t>Partially Abandoned</t>
  </si>
  <si>
    <t>~6/14/2019</t>
  </si>
  <si>
    <t>~6/15/2019</t>
  </si>
  <si>
    <t>2019 Creed Road</t>
  </si>
  <si>
    <t>2019 Denverton Creek</t>
  </si>
  <si>
    <t>2019 Denverton Creek p1</t>
  </si>
  <si>
    <t>2019 Denverton Creek p2</t>
  </si>
  <si>
    <t>~5/31/2019</t>
  </si>
  <si>
    <t>2019 Hay Landfill</t>
  </si>
  <si>
    <t>2019 Hay Landfill p1</t>
  </si>
  <si>
    <t>2019 Hay Landfill p2</t>
  </si>
  <si>
    <t>2019 Iron Point</t>
  </si>
  <si>
    <t>2019 Iron Point p1</t>
  </si>
  <si>
    <t>2019 Leisure Town</t>
  </si>
  <si>
    <t>2019 Leisure Town Road</t>
  </si>
  <si>
    <t>2019 Leisure Town Road p1</t>
  </si>
  <si>
    <t>~5/21/2019</t>
  </si>
  <si>
    <t>2019 Leisure Town Road p2</t>
  </si>
  <si>
    <t>~6/17/2019</t>
  </si>
  <si>
    <t>2019 Markham Ravine</t>
  </si>
  <si>
    <t>2019 Markham Ravine p1</t>
  </si>
  <si>
    <t>2019 Markham Ravine 2</t>
  </si>
  <si>
    <t>2019 Markham Ravine 2 p1</t>
  </si>
  <si>
    <t>~6/9/2019</t>
  </si>
  <si>
    <t>~6/21/2019</t>
  </si>
  <si>
    <t>2019 Rush Ranch</t>
  </si>
  <si>
    <t>2019 Rush Ranch p1</t>
  </si>
  <si>
    <t>~5/5/2019</t>
  </si>
  <si>
    <t>~5/17/2019</t>
  </si>
  <si>
    <t>Central Sacramento Valley</t>
  </si>
  <si>
    <t>2020 Conaway Ranch</t>
  </si>
  <si>
    <t>2020 Conaway Ranch p1</t>
  </si>
  <si>
    <t>Cattails with bulrush</t>
  </si>
  <si>
    <t>NEED</t>
  </si>
  <si>
    <t>2020 Creed Road</t>
  </si>
  <si>
    <t>2020 Denverton Creek</t>
  </si>
  <si>
    <t>2020 Denverton Creek p1</t>
  </si>
  <si>
    <t>Monterey</t>
  </si>
  <si>
    <t>2020 Fort Ord</t>
  </si>
  <si>
    <t>2020 Fort Ord p1</t>
  </si>
  <si>
    <t>2020 Hay Landfill</t>
  </si>
  <si>
    <t>2020 Hay Landfill p1</t>
  </si>
  <si>
    <t>2020 Hay Landfill p2</t>
  </si>
  <si>
    <t>2020 Iron Point</t>
  </si>
  <si>
    <t>2020 Iron Point p1</t>
  </si>
  <si>
    <t>2020 Markham Ravine</t>
  </si>
  <si>
    <t>2020 Markham Ravine p1</t>
  </si>
  <si>
    <t>~5/30/2020</t>
  </si>
  <si>
    <t>2020 Rush Ranch</t>
  </si>
  <si>
    <t>2020 Rush Ranch p1</t>
  </si>
  <si>
    <t>2020 Ohlone - Santa Lucia Preserve</t>
  </si>
  <si>
    <t>2020 Santa Lucia Preserve - Ohlone Pond</t>
  </si>
  <si>
    <t>2020 Santa Lucia Preserve - Ohlone Pond p1</t>
  </si>
  <si>
    <t>~4/22/2020</t>
  </si>
  <si>
    <t>~5/4/2020</t>
  </si>
  <si>
    <t>2021 Colusa NWR 27-1</t>
  </si>
  <si>
    <t>2021 Colusa NWR T27.1</t>
  </si>
  <si>
    <t>2021 Colusa NWR T27.1 p1</t>
  </si>
  <si>
    <t>~6/15/2021</t>
  </si>
  <si>
    <t>2021 Colusa NWR 27-2</t>
  </si>
  <si>
    <t>2021 Colusa NWR T27.2</t>
  </si>
  <si>
    <t>2021 Colusa NWR T27.2 p1</t>
  </si>
  <si>
    <t>2021 Conaway East</t>
  </si>
  <si>
    <t>2021 Conaway South:</t>
  </si>
  <si>
    <t>2021 Conaway East p1</t>
  </si>
  <si>
    <t>2021 Conaway South</t>
  </si>
  <si>
    <t>2021 Conaway South p1</t>
  </si>
  <si>
    <t>2021 Conaway West</t>
  </si>
  <si>
    <t>2021 Conaway West p1</t>
  </si>
  <si>
    <t>CNLM</t>
  </si>
  <si>
    <t>2021 Dagnino Pond</t>
  </si>
  <si>
    <t>2021 Dagnino Pond p1</t>
  </si>
  <si>
    <t>Bulrush, cattails, Mustard</t>
  </si>
  <si>
    <t>2021 Creed Road</t>
  </si>
  <si>
    <t>2021 Denverton Creek</t>
  </si>
  <si>
    <t>2021 Denverton Creek p1</t>
  </si>
  <si>
    <t>2021 Reeds Creek North</t>
  </si>
  <si>
    <t>2021 Erle Road-Reeds Creek North</t>
  </si>
  <si>
    <t>2021 Erle Road-Reeds Creek South:</t>
  </si>
  <si>
    <t>2021 Erle Road-Reeds Creek North p1</t>
  </si>
  <si>
    <t>Himalayan blackberry, lettuce</t>
  </si>
  <si>
    <t>abandoned</t>
  </si>
  <si>
    <t>2021 Reeds Creek South</t>
  </si>
  <si>
    <t>2021 Erle Road-Reeds Creek South</t>
  </si>
  <si>
    <t>2021 Erle Road-Reeds Creek South p1</t>
  </si>
  <si>
    <t>2021 Foley Ranch</t>
  </si>
  <si>
    <t>2021 Foley Ranch p1</t>
  </si>
  <si>
    <t>2021 Foley Ranch p2</t>
  </si>
  <si>
    <t>2021 Hale Road 2</t>
  </si>
  <si>
    <t>2021 Hale Road 2 p1</t>
  </si>
  <si>
    <t>Himalayan blackberry, bulrush</t>
  </si>
  <si>
    <t>2021 Hay Landfill</t>
  </si>
  <si>
    <t>2021 Hay Landfill p1</t>
  </si>
  <si>
    <t>2021 Iron Point</t>
  </si>
  <si>
    <t>2021 Iron Point p1</t>
  </si>
  <si>
    <t>Southern Sierra Research Station</t>
  </si>
  <si>
    <t>2021 Kern 1</t>
  </si>
  <si>
    <t>2021 Kern 1 p1</t>
  </si>
  <si>
    <t>Stinging nettle, mulefat</t>
  </si>
  <si>
    <t>~6/24/2021</t>
  </si>
  <si>
    <t>2021 Kern 2</t>
  </si>
  <si>
    <t>2021 Kern 2 p1</t>
  </si>
  <si>
    <t>Cattails</t>
  </si>
  <si>
    <t>2021 Kern 3</t>
  </si>
  <si>
    <t>2021 Kern 3 p1</t>
  </si>
  <si>
    <t>Bulrush</t>
  </si>
  <si>
    <t>2021 Kern 4</t>
  </si>
  <si>
    <t>2021 Kern 4 p1</t>
  </si>
  <si>
    <t>Stinging nettle</t>
  </si>
  <si>
    <t>~5/31/2021</t>
  </si>
  <si>
    <t>~6/12/2021</t>
  </si>
  <si>
    <t>2021 Kern 5</t>
  </si>
  <si>
    <t>Complex</t>
  </si>
  <si>
    <t>Asynchronous, Sequential</t>
  </si>
  <si>
    <t>2021 Kern 5 p1</t>
  </si>
  <si>
    <t>2021 Kern 5 p2</t>
  </si>
  <si>
    <t>2021 Kern 6</t>
  </si>
  <si>
    <t>No TRBL</t>
  </si>
  <si>
    <t>2021 Kern 6 p1</t>
  </si>
  <si>
    <t>2021 Kern 7</t>
  </si>
  <si>
    <t>2021 Kern 7 p1</t>
  </si>
  <si>
    <t>2021 Markham Ravine</t>
  </si>
  <si>
    <t>2021 Markham Ravine p1</t>
  </si>
  <si>
    <t>2021 Orchard Creek</t>
  </si>
  <si>
    <t>Additions</t>
  </si>
  <si>
    <t>2021 Orchard Creek p1</t>
  </si>
  <si>
    <t>2021 Orchard Creek p2</t>
  </si>
  <si>
    <t>~6/3/2021</t>
  </si>
  <si>
    <t>2021 Panoche Creek Preserve 1W</t>
  </si>
  <si>
    <t>2021 Panoche Creek Marsh East 1</t>
  </si>
  <si>
    <t>2021 Panoche Creek Marsh East 2: These were definitely in the same colony. 1E had much better data</t>
  </si>
  <si>
    <t>2021 Panoche Creek Marsh East 1 p1</t>
  </si>
  <si>
    <t>~5/23/2021</t>
  </si>
  <si>
    <t>~5/25/2021</t>
  </si>
  <si>
    <t>2021 Panoche Creek Preserve 2E</t>
  </si>
  <si>
    <t>2021 Panoche Creek Marsh East 2</t>
  </si>
  <si>
    <t>2021 Panoche Creek Marsh East 2 p1</t>
  </si>
  <si>
    <t>2021 Plumas Arboga</t>
  </si>
  <si>
    <t>2021 Plumas Arboga p1</t>
  </si>
  <si>
    <t>Cattails with Himalayan blackberry</t>
  </si>
  <si>
    <t>Rancho Jamul</t>
  </si>
  <si>
    <t>2021 Rancho Jamul</t>
  </si>
  <si>
    <t>2021 Rancho Jamul p1</t>
  </si>
  <si>
    <t>Cattails, bulrush or tule</t>
  </si>
  <si>
    <t>2021 Rodeo Grounds 1</t>
  </si>
  <si>
    <t>2021 Rodeo Grounds</t>
  </si>
  <si>
    <t>2021 Rodeo Grounds p1</t>
  </si>
  <si>
    <t>2021 Rush Ranch</t>
  </si>
  <si>
    <t>2021 Rush Ranch p1</t>
  </si>
  <si>
    <t>2021 SJWA</t>
  </si>
  <si>
    <t>2021 San Jacinto Wildlife Area - Bridge Street Pond</t>
  </si>
  <si>
    <t>2021 San Jacinto Wildlife Area - Bridge Street Pond p1</t>
  </si>
  <si>
    <t>Sedgwick</t>
  </si>
  <si>
    <t>2021 Sedgwick</t>
  </si>
  <si>
    <t>2021 Sedgwick Reserve</t>
  </si>
  <si>
    <t>2021 Sedgwick Reserve p1</t>
  </si>
  <si>
    <t>2021 Willey Wetlands 1</t>
  </si>
  <si>
    <t xml:space="preserve">2021 Willey Wetlands 3: </t>
  </si>
  <si>
    <t>2021 Willey Wetlands 1 p1</t>
  </si>
  <si>
    <t>A few hundred</t>
  </si>
  <si>
    <t>~7/2/2021</t>
  </si>
  <si>
    <t>2021 Willey Wetlands 2</t>
  </si>
  <si>
    <t>2021 Willey Wetlands 2 p1</t>
  </si>
  <si>
    <t>2021 Willey Wetlands 3</t>
  </si>
  <si>
    <t>2021 Willey Wetlands 3 p1</t>
  </si>
  <si>
    <t>Wind Wolves Preserve</t>
  </si>
  <si>
    <t>2021 Wind Wolves Preserve</t>
  </si>
  <si>
    <t>2021 Wind Wolves Preserve p1</t>
  </si>
  <si>
    <t>Baja</t>
  </si>
  <si>
    <t>2022 Baja 1</t>
  </si>
  <si>
    <t>2022 Baja CiÃ©nega Redonda North</t>
  </si>
  <si>
    <t>2022 Baja CiÃ©nega Redonda North p1</t>
  </si>
  <si>
    <t>2022 Baja 2</t>
  </si>
  <si>
    <t>2022 Baja CiÃ©nega Redonda North 2</t>
  </si>
  <si>
    <t>2022 Baja CiÃ©nega Redonda North: Had less detections than Baja 1. Keep Baja 1.</t>
  </si>
  <si>
    <t>2022 Baja CiÃ©nega Redonda North 2 p1</t>
  </si>
  <si>
    <t>---</t>
  </si>
  <si>
    <t>2022 Colusa NWR T27.1</t>
  </si>
  <si>
    <t>2022 Colusa NWR T27.1 p1</t>
  </si>
  <si>
    <t>2022 Colusa NWR T27.2</t>
  </si>
  <si>
    <t>2022 Colusa NWR T27.2 p1</t>
  </si>
  <si>
    <t>2022 Conaway New Easement Pond West</t>
  </si>
  <si>
    <t>2022 Conaway New Easement Pond West p1</t>
  </si>
  <si>
    <t>2022 Conaway North</t>
  </si>
  <si>
    <t>2022 Conaway North p1</t>
  </si>
  <si>
    <t>Cattails, Himalayan blackberry, willow</t>
  </si>
  <si>
    <t>2022 Conaway North A</t>
  </si>
  <si>
    <t>2022 Conaway North:</t>
  </si>
  <si>
    <t>2022 Conaway North A p1</t>
  </si>
  <si>
    <t>2022 Conaway East</t>
  </si>
  <si>
    <t>2022 Conaway Ranch Reservoir</t>
  </si>
  <si>
    <t>2022 Conaway Ranch Reservoir p1</t>
  </si>
  <si>
    <t>~6/7/2022</t>
  </si>
  <si>
    <t>2022 Creed Road</t>
  </si>
  <si>
    <t>2022 Denverton Creek</t>
  </si>
  <si>
    <t>2022 Denverton Creek p1</t>
  </si>
  <si>
    <t>2022 Foley Ranch A</t>
  </si>
  <si>
    <t>2022 Foley Ranch A p1</t>
  </si>
  <si>
    <t>2022 Foley Ranch B</t>
  </si>
  <si>
    <t>2022 Foley Ranch A:</t>
  </si>
  <si>
    <t>2022 Foley Ranch B p1</t>
  </si>
  <si>
    <t>2022 Hay Landfill</t>
  </si>
  <si>
    <t>2022 Hay Landfill p1</t>
  </si>
  <si>
    <t>2022 Hay Landfill p2</t>
  </si>
  <si>
    <t>2022 Laguna Seca</t>
  </si>
  <si>
    <t>2022 Laguna Seca p1</t>
  </si>
  <si>
    <t>2022 Laguna Seca p2</t>
  </si>
  <si>
    <t>Los Vaqueros</t>
  </si>
  <si>
    <t>2022 Los Vaqueros Reservoir</t>
  </si>
  <si>
    <t>2022 Los Vaqueros Reservoir p1</t>
  </si>
  <si>
    <t>400-500</t>
  </si>
  <si>
    <t>2022 Marsh Creek Reservoir</t>
  </si>
  <si>
    <t>2022 Marsh Creek Reservoir p1</t>
  </si>
  <si>
    <t>San Bernardino</t>
  </si>
  <si>
    <t>2022 Newberry Springs - Lake Wainani</t>
  </si>
  <si>
    <t>2022 Newberry Springs - Lake Wainani p1</t>
  </si>
  <si>
    <t>Cattails, willows</t>
  </si>
  <si>
    <t>Oregon</t>
  </si>
  <si>
    <t>2022 OR1</t>
  </si>
  <si>
    <t>2022 Oregon State - Dizney Rd</t>
  </si>
  <si>
    <t>2022 Oregon State - Dizney Rd p1</t>
  </si>
  <si>
    <t>Bulrush, cattails, Himalayan blackberry</t>
  </si>
  <si>
    <t>2022 OR2</t>
  </si>
  <si>
    <t>2022 Oregon State - Prineville Woodward Rd</t>
  </si>
  <si>
    <t>2022 Oregon State - Prineville Woodward Rd p1</t>
  </si>
  <si>
    <t>40-80</t>
  </si>
  <si>
    <t>~5/4/2022</t>
  </si>
  <si>
    <t>~5/16/2022</t>
  </si>
  <si>
    <t>~5/25/2022</t>
  </si>
  <si>
    <t>2022 Paicines Ranch - Teal Pond</t>
  </si>
  <si>
    <t>2022 Paicines Ranch - Teal Pond p1</t>
  </si>
  <si>
    <t>2022 Paicines Ranch - Teal Pond B</t>
  </si>
  <si>
    <t>2022 Paicines Ranch - Teal Pond:</t>
  </si>
  <si>
    <t>2022 Paicines Ranch - Teal Pond B p1</t>
  </si>
  <si>
    <t>2022 Panoche Creek Preserve Loc4</t>
  </si>
  <si>
    <t>2022 Panoche Creek Marsh East 1</t>
  </si>
  <si>
    <t>2022 Panoche Creek Marsh East 1 p1</t>
  </si>
  <si>
    <t>2022 Panoche Creek Preserve Loc5</t>
  </si>
  <si>
    <t>2022 Panoche Creek Marsh East 2</t>
  </si>
  <si>
    <t>2022 Panoche Creek Marsh East 2 p1</t>
  </si>
  <si>
    <t>2022 Panoche Creek Preserve Loc3</t>
  </si>
  <si>
    <t>2022 Panoche Creek Preserve Location 3</t>
  </si>
  <si>
    <t>2022 Panoche Creek Preserve Location 3 p1</t>
  </si>
  <si>
    <t>2022 Plumas Arboga East</t>
  </si>
  <si>
    <t>2022 Plumas Arboga 6 East</t>
  </si>
  <si>
    <t>2022 Plumas Arboga 6 East p1</t>
  </si>
  <si>
    <t>2022 Plumas Arboga 6 East p2</t>
  </si>
  <si>
    <t>2022 Plumas Arboga West</t>
  </si>
  <si>
    <t>2022 Plumas Arboga 6 West</t>
  </si>
  <si>
    <t>2022 Plumas Arboga 6 East:</t>
  </si>
  <si>
    <t>2022 Plumas Arboga 6 West p1</t>
  </si>
  <si>
    <t>Dairies</t>
  </si>
  <si>
    <t>2022 Private Site 1 - not real lat lon</t>
  </si>
  <si>
    <t>2022 Private Site 1 - approximate lat lon</t>
  </si>
  <si>
    <t>2022 Private Site 1 - approximate lat lon p1</t>
  </si>
  <si>
    <t>Triticale</t>
  </si>
  <si>
    <t>2022 Private Site 2 - not real lat lon</t>
  </si>
  <si>
    <t>2022 Private Site 2 - approximate lat lon</t>
  </si>
  <si>
    <t>2022 Private Site 2 - approximate lat lon p1</t>
  </si>
  <si>
    <t>2022 Private Site 3 - not real lat lon</t>
  </si>
  <si>
    <t>2022 Private Site 3 - approximate lat lon</t>
  </si>
  <si>
    <t>2022 Private Site 3 - approximate lat lon p1</t>
  </si>
  <si>
    <t>Milk thistle</t>
  </si>
  <si>
    <t>2022 Rancho Jamul</t>
  </si>
  <si>
    <t>2022 Rancho Jamul p1</t>
  </si>
  <si>
    <t>2022 SJWA</t>
  </si>
  <si>
    <t>2022 San Jacinto Wildlife Area - Bridge Street Pond</t>
  </si>
  <si>
    <t>2022 San Jacinto Wildlife Area - Bridge Street Pond p1</t>
  </si>
  <si>
    <t>~6/11/2022</t>
  </si>
  <si>
    <t>2022 Ohlone - Santa Lucia Preserve</t>
  </si>
  <si>
    <t>2022 Santa Lucia Preserve - Ohlone Pond</t>
  </si>
  <si>
    <t>2022 Santa Lucia Preserve - Ohlone Pond p1</t>
  </si>
  <si>
    <t>2022 Sedgwick</t>
  </si>
  <si>
    <t>2022 Sedgwick Reserve</t>
  </si>
  <si>
    <t>2022 Sedgwick Reserve p1</t>
  </si>
  <si>
    <t>2022 Sedgwick Reserve p2</t>
  </si>
  <si>
    <t>Washington</t>
  </si>
  <si>
    <t>2022 WA Harder Spring</t>
  </si>
  <si>
    <t>2022 Washington State - Harder Spring</t>
  </si>
  <si>
    <t>2022 Washington State - Harder Spring p1</t>
  </si>
  <si>
    <t>Bulrush, cattails, common reed</t>
  </si>
  <si>
    <t>~5/5/2022</t>
  </si>
  <si>
    <t>~5/17/2022</t>
  </si>
  <si>
    <t>2022 Washington State - Harder Spring p2</t>
  </si>
  <si>
    <t>2022 WA1</t>
  </si>
  <si>
    <t>2022 Washington State - McCain Wetands</t>
  </si>
  <si>
    <t>2022 Washington State - McCain Wetands p1</t>
  </si>
  <si>
    <t>150-200</t>
  </si>
  <si>
    <t>2022 Wind Wolves Preserve Pleitito Creek</t>
  </si>
  <si>
    <t>2022 Wind Wolves Preserve - Pleitito Creek</t>
  </si>
  <si>
    <t>2022 Wind Wolves Preserve - Pleitito Creek p1</t>
  </si>
  <si>
    <t>2022 Wind Wolves Preserve Santiago Wetlands</t>
  </si>
  <si>
    <t>2022 Wind Wolves Preserve - Santiago Wetlands</t>
  </si>
  <si>
    <t>2022 Wind Wolves Preserve - Santiago Wetlands p1</t>
  </si>
  <si>
    <t>50-100</t>
  </si>
  <si>
    <t>~4/8/2022</t>
  </si>
  <si>
    <t>~4/20/2022</t>
  </si>
  <si>
    <t>2023 Laguna Fry Confluence - 45 Sump</t>
  </si>
  <si>
    <t>2023 45 Sump</t>
  </si>
  <si>
    <t>2023 45 Sump p1</t>
  </si>
  <si>
    <t>2023 Baja Rancho Cinega</t>
  </si>
  <si>
    <t>2023 Baja CiÃ©nega Redonda North</t>
  </si>
  <si>
    <t>2023 Baja CiÃ©nega Redonda North p1</t>
  </si>
  <si>
    <t>100-200</t>
  </si>
  <si>
    <t>2023 Colusa NWR T27.1</t>
  </si>
  <si>
    <t>2023 Colusa NWR T27.1 p1</t>
  </si>
  <si>
    <t>2023 Colusa NWR T27.2</t>
  </si>
  <si>
    <t>2023 Colusa NWR T27.2 p1</t>
  </si>
  <si>
    <t>2023 Conaway Ranch - HQ</t>
  </si>
  <si>
    <t>2023 Conaway Ranch Headquarters</t>
  </si>
  <si>
    <t>2023 Conaway Ranch Headquarters p1</t>
  </si>
  <si>
    <t>2023 Conaway Ranch NE</t>
  </si>
  <si>
    <t>2023 Conaway Ranch NE p1</t>
  </si>
  <si>
    <t>6/17/2023P</t>
  </si>
  <si>
    <t>2023 Conaway Ranch North 1</t>
  </si>
  <si>
    <t>2023 Conaway Ranch North 1 p1</t>
  </si>
  <si>
    <t>Himalayan blackberry, cattails</t>
  </si>
  <si>
    <t>2023 Conaway Ranch North 2</t>
  </si>
  <si>
    <t>2023 Conaway Ranch North 2 p1</t>
  </si>
  <si>
    <t>2023 Delevan T6</t>
  </si>
  <si>
    <t>2023 Delevan Blind 4</t>
  </si>
  <si>
    <t>2023 Delevan Blind 4 p1</t>
  </si>
  <si>
    <t>2023 Delevan NWR T43.1</t>
  </si>
  <si>
    <t>2023 Delevan NWR T43.1 p1</t>
  </si>
  <si>
    <t>2023 Delevan NWR T43.2</t>
  </si>
  <si>
    <t>2023 Delevan NWR T43.2 p1</t>
  </si>
  <si>
    <t>2023 Creed Rd</t>
  </si>
  <si>
    <t>2023 Denverton Creek</t>
  </si>
  <si>
    <t>2023 Denverton Creek p1</t>
  </si>
  <si>
    <t>~5/6/2023</t>
  </si>
  <si>
    <t>~5/18/2023</t>
  </si>
  <si>
    <t>2023 Hale Road</t>
  </si>
  <si>
    <t>2023 Hale Road p1</t>
  </si>
  <si>
    <t>2023 Hale Road p2</t>
  </si>
  <si>
    <t>~7/1/2023</t>
  </si>
  <si>
    <t>2023 Hale Road Site 2</t>
  </si>
  <si>
    <t>2023 Hale Road:</t>
  </si>
  <si>
    <t>2023 Hale Road Site 2 p1</t>
  </si>
  <si>
    <t>2023 Iron Point</t>
  </si>
  <si>
    <t>2023 Iron Point p1</t>
  </si>
  <si>
    <t>~5/31/2023</t>
  </si>
  <si>
    <t>~6/9/2023</t>
  </si>
  <si>
    <t>2023 Kentucky Lateral</t>
  </si>
  <si>
    <t>2023 Kentucky Lateral p1</t>
  </si>
  <si>
    <t>Bull thistle</t>
  </si>
  <si>
    <t>2023 Kern - Canebreak Ecological Reserve 4</t>
  </si>
  <si>
    <t>2023 Kern - Canebreak Ecological Reserve 4 p1</t>
  </si>
  <si>
    <t>2023 Kern - HQ2</t>
  </si>
  <si>
    <t>2023 Kern - Headquarters 2</t>
  </si>
  <si>
    <t>2023 Kern - Headquarters 2 p1</t>
  </si>
  <si>
    <t>Sandbar Willow</t>
  </si>
  <si>
    <t>2023 Kern - Headquarters 2 p2</t>
  </si>
  <si>
    <t>2023 Laguna Fry Confluence - Site 1</t>
  </si>
  <si>
    <t>2023 Laguna Frye Confluence 3</t>
  </si>
  <si>
    <t>2023 Laguna Frye Confluence 3 p1</t>
  </si>
  <si>
    <t>~6/1/2023</t>
  </si>
  <si>
    <t>2023 Weagell Property 1</t>
  </si>
  <si>
    <t>2023 Laguna Frye Confluence 1</t>
  </si>
  <si>
    <t>Additions, Sequential</t>
  </si>
  <si>
    <t>2023 Laguna Frye Confluence 1 p1</t>
  </si>
  <si>
    <t>2023 Laguna Frye Confluence 1 p2</t>
  </si>
  <si>
    <t>2023 Laguna Frye Confluence 1 p3</t>
  </si>
  <si>
    <t>2023 Laguna Frye Confluence 1 p4</t>
  </si>
  <si>
    <t>2023 Weagell Property 2</t>
  </si>
  <si>
    <t>2023 Laguna Frye Confluence 2</t>
  </si>
  <si>
    <t>2023 Laguna Frye Confluence 1:</t>
  </si>
  <si>
    <t>2023 Laguna Frye Confluence 2 p1</t>
  </si>
  <si>
    <t>2023 Laguna Frye Confluence 2 p2</t>
  </si>
  <si>
    <t>2023 Los Vaqueros - Walnut Trail Marsh</t>
  </si>
  <si>
    <t>2023 Los Vaqueros - Walnut Trail Marsh p1</t>
  </si>
  <si>
    <t>2023 Los Vaqueros Reservoir</t>
  </si>
  <si>
    <t>2023 Los Vaqueros Reservoir p1</t>
  </si>
  <si>
    <t>2023 Los Vaqueros Reservoir p2</t>
  </si>
  <si>
    <t>2023 Markham Ravine</t>
  </si>
  <si>
    <t>2023 Markham Ravine p1</t>
  </si>
  <si>
    <t>3000-4000</t>
  </si>
  <si>
    <t>Merced and San Luis NWR</t>
  </si>
  <si>
    <t>2023 Merced NWR - Cottonwood</t>
  </si>
  <si>
    <t>2023 Merced NWR - Cottonwood Trail</t>
  </si>
  <si>
    <t>2023 Merced NWR - Cottonwood Trail p1</t>
  </si>
  <si>
    <t>Buttonwillow, milk thistle</t>
  </si>
  <si>
    <t>2023 Merced NWR - Cottonwood Trail p2</t>
  </si>
  <si>
    <t>~5/25/2023</t>
  </si>
  <si>
    <t>~6/4/2023</t>
  </si>
  <si>
    <t>2023 Merced NWR Deadman Wetland Ditch</t>
  </si>
  <si>
    <t>2023 Merced NWR - Deadman Wetland Ditch</t>
  </si>
  <si>
    <t>2023 Merced NWR - Deadman Wetland Ditch p1</t>
  </si>
  <si>
    <t>Milk thistle, mustard</t>
  </si>
  <si>
    <t>2023 North Regional Pond</t>
  </si>
  <si>
    <t>2023 North Regional Pond p1</t>
  </si>
  <si>
    <t>Mustard, milk thistle</t>
  </si>
  <si>
    <t>2023 OR Dizney Rd</t>
  </si>
  <si>
    <t>2023 Oregon State - Dizney Rd</t>
  </si>
  <si>
    <t>2023 Oregon State - Dizney Rd p1</t>
  </si>
  <si>
    <t>Cattails, Himalayan blackberry</t>
  </si>
  <si>
    <t>75-100</t>
  </si>
  <si>
    <t>~6/3/2023</t>
  </si>
  <si>
    <t>2023 OR Eureka Rd</t>
  </si>
  <si>
    <t>2023 Oregon State - Eureka Lane</t>
  </si>
  <si>
    <t>2023 Oregon State - Eureka Lane p1</t>
  </si>
  <si>
    <t>2023 OR Prineville North</t>
  </si>
  <si>
    <t>2023 Oregon State - Prineville Grimes Rd</t>
  </si>
  <si>
    <t>2023 Oregon State - Prineville Grimes Rd p1</t>
  </si>
  <si>
    <t>50-75</t>
  </si>
  <si>
    <t>2023 Oregon State - Prineville Grimes Rd p2</t>
  </si>
  <si>
    <t>2023 Panoche Creek Preserve - Corrals NW</t>
  </si>
  <si>
    <t>2023 Panoche Creek Preserve - Corrals North West</t>
  </si>
  <si>
    <t>2023 Panoche Creek Preserve - Corrals South East:</t>
  </si>
  <si>
    <t>2023 Panoche Creek Preserve - Corrals North West p1</t>
  </si>
  <si>
    <t>Fiddleneck, cheeseweed, London rocket, and Chilean chess</t>
  </si>
  <si>
    <t>2023 Panoche Creek Preserve - Corrals SE</t>
  </si>
  <si>
    <t>2023 Panoche Creek Preserve - Corrals South East</t>
  </si>
  <si>
    <t>2023 Panoche Creek Preserve - Corrals South East p1</t>
  </si>
  <si>
    <t>2023 Peterson Ranch Pond - East</t>
  </si>
  <si>
    <t>2023 Petersen Ranch Pond - East</t>
  </si>
  <si>
    <t>2023 Petersen Ranch Pond - East p1</t>
  </si>
  <si>
    <t>2023 Peterson Ranch Pond - West</t>
  </si>
  <si>
    <t>2023 Petersen Ranch Pond - West</t>
  </si>
  <si>
    <t>2023 Peterson Ranch Pond - East:</t>
  </si>
  <si>
    <t>2023 Petersen Ranch Pond - West p1</t>
  </si>
  <si>
    <t>2023 Plumas Arboga 2</t>
  </si>
  <si>
    <t>2023 Plumas Arboga 2 p1</t>
  </si>
  <si>
    <t>2023 Plumas Arboga 8 - North Regional Pond</t>
  </si>
  <si>
    <t>2023 Plumas Arboga 8</t>
  </si>
  <si>
    <t>2023 Plumas Arboga 8 p1</t>
  </si>
  <si>
    <t>2023 Plumas Arboga 8 p2</t>
  </si>
  <si>
    <t>2023 Rancho Jamul North Pond - fix lat lon</t>
  </si>
  <si>
    <t>2023 Rancho Jamul - North Pond</t>
  </si>
  <si>
    <t>2023 Rancho Jamul - North Pond p1</t>
  </si>
  <si>
    <t>2023 Rancho Jamul Site 1 fix lat lon</t>
  </si>
  <si>
    <t>2023 Rancho Jamul - Site 1</t>
  </si>
  <si>
    <t>2023 Rancho Jamul - Site 1 p1</t>
  </si>
  <si>
    <t>~6/2/2023</t>
  </si>
  <si>
    <t>2023 Rancho Jamul - Site 1 p2</t>
  </si>
  <si>
    <t>~6/6/2023</t>
  </si>
  <si>
    <t>~6/18/2023</t>
  </si>
  <si>
    <t>~7/10/2023</t>
  </si>
  <si>
    <t>~7/22/2023</t>
  </si>
  <si>
    <t>2023 Bridge St Pond</t>
  </si>
  <si>
    <t>2023 San Jacinto Wildlife Area - Bridge St. Pond</t>
  </si>
  <si>
    <t>2023 San Jacinto Wildlife Area - Bridge St. Pond p1</t>
  </si>
  <si>
    <t>2023 West of Davis</t>
  </si>
  <si>
    <t>2023 San Jacinto Wildlife Area West of Davis</t>
  </si>
  <si>
    <t>2023 San Jacinto Wildlife Area West of Davis p1</t>
  </si>
  <si>
    <t>2023 San Jacinto Wildlife Area West of Davis p2</t>
  </si>
  <si>
    <t>2023 San Luis NWR - West Bank Creek</t>
  </si>
  <si>
    <t>2023 San Luis NWR - Fiddleneck Lake</t>
  </si>
  <si>
    <t>2023 San Luis NWR - Fiddleneck Lake p1</t>
  </si>
  <si>
    <t>~6/24/2023</t>
  </si>
  <si>
    <t>~7/5/2023</t>
  </si>
  <si>
    <t>2023 San Luis Bear Creek</t>
  </si>
  <si>
    <t>2023 San Luis NWR - Tanager Slough</t>
  </si>
  <si>
    <t>2023 San Luis NWR - Tanager Slough p1</t>
  </si>
  <si>
    <t>Willows</t>
  </si>
  <si>
    <t>200-900</t>
  </si>
  <si>
    <t>2023 Sedgwick</t>
  </si>
  <si>
    <t>2023 Sedgwick Reserve</t>
  </si>
  <si>
    <t>2023 Sedgwick Reserve p1</t>
  </si>
  <si>
    <t>~4/3/2023</t>
  </si>
  <si>
    <t>~4/15/2023</t>
  </si>
  <si>
    <t>2023 South Virginia Road 3</t>
  </si>
  <si>
    <t>2023 South Virginia Road 3 p1</t>
  </si>
  <si>
    <t>Himalayan blackberry, willows</t>
  </si>
  <si>
    <t>2023 Virginia at Ostrom</t>
  </si>
  <si>
    <t>2023 Virginia at Ostrom p1</t>
  </si>
  <si>
    <t>2023 WA Harder Spring</t>
  </si>
  <si>
    <t>2023 Washington State - Harder Spring</t>
  </si>
  <si>
    <t>2023 Washington State - Harder Spring p1</t>
  </si>
  <si>
    <t>2023 Washington State - Harder Spring p2</t>
  </si>
  <si>
    <t>2023 WA McCain Wetlands</t>
  </si>
  <si>
    <t>2023 Washington State - McCain Wetlands</t>
  </si>
  <si>
    <t>2023 Washington State - McCain Wetlands p1</t>
  </si>
  <si>
    <t>Cattails, Common reed</t>
  </si>
  <si>
    <t>2023 Wind Wolves Preserve site 1</t>
  </si>
  <si>
    <t>2023 Wind Wolves Preserve - Los Lobos</t>
  </si>
  <si>
    <t>2023 Wind Wolves Preserve - Los Lobos p1</t>
  </si>
  <si>
    <t>2023 Wind Wolves Preserve Site 2</t>
  </si>
  <si>
    <t>2023 Wind Wolves Preserve - Santiago Wetlands</t>
  </si>
  <si>
    <t>2023 Wind Wolves Preserve - Santiago Wetlands p1</t>
  </si>
  <si>
    <t>Cattails, Stinging nettle</t>
  </si>
  <si>
    <t>2024 Baja Rancho Cinega Redonda 1</t>
  </si>
  <si>
    <t>2024 Baja CiÃ©nega Redonda North</t>
  </si>
  <si>
    <t>2024 Baja CiÃ©nega Redonda North p1</t>
  </si>
  <si>
    <t>300-400</t>
  </si>
  <si>
    <t>2024 Baja CiÃ©nega Redonda North p2</t>
  </si>
  <si>
    <t>2024 Baja Rancho Cinega Redonda 2</t>
  </si>
  <si>
    <t>2024 Baja CiÃ©nega Redonda South</t>
  </si>
  <si>
    <t>2024 Baja CiÃ©nega Redonda South p1</t>
  </si>
  <si>
    <t>2024 Baja CiÃ©nega Redonda South p2</t>
  </si>
  <si>
    <t>2024 Baja Lago Mesa Redonda</t>
  </si>
  <si>
    <t>2024 Baja Lago Mesa Redonda p1</t>
  </si>
  <si>
    <t>2024 Baja Lago Mesa Redonda p2</t>
  </si>
  <si>
    <t>2024 Colusa NWR T27.1</t>
  </si>
  <si>
    <t>2024 Colusa NWR T27.1 p1</t>
  </si>
  <si>
    <t>2024 Colusa NWR T27.2</t>
  </si>
  <si>
    <t>2024 Colusa NWR T27.2 p1</t>
  </si>
  <si>
    <t>2024 Dublin Ranch Preserve - Lin Livermore Conservation Area</t>
  </si>
  <si>
    <t>2024 Dagnino Pond</t>
  </si>
  <si>
    <t>2024 Dagnino Pond p1</t>
  </si>
  <si>
    <t>2024 Kern 1 - check lat lon</t>
  </si>
  <si>
    <t>2024 Kern 1</t>
  </si>
  <si>
    <t>2024 Kern 1 p1</t>
  </si>
  <si>
    <t>2024 Los Vaqueros Reservoir</t>
  </si>
  <si>
    <t>2024 Los Vaqueros Reservoir p1</t>
  </si>
  <si>
    <t>~5/19/2024</t>
  </si>
  <si>
    <t>2024 Los Vaqueros Reservoir p2</t>
  </si>
  <si>
    <t>2024 Markham Ravine 1</t>
  </si>
  <si>
    <t>2024 Markham Ravine 1 p1</t>
  </si>
  <si>
    <t>2024 Markham Ravine 2</t>
  </si>
  <si>
    <t>2024 Markham Ravine 1:</t>
  </si>
  <si>
    <t>2024 Markham Ravine 2 p1</t>
  </si>
  <si>
    <t>2024 Markham Ravine 3</t>
  </si>
  <si>
    <t>2024 Markham Ravine 3 p1</t>
  </si>
  <si>
    <t>2024 Merced NWR - Cottonwood Trail</t>
  </si>
  <si>
    <t>2024 Merced NWR - Duck Slough Farmfield</t>
  </si>
  <si>
    <t>2024 Merced NWR - Duck Slough Farmfield p1</t>
  </si>
  <si>
    <t>~5/11/2024</t>
  </si>
  <si>
    <t>2024 Moore Lake - confirm lat lon</t>
  </si>
  <si>
    <t>2024 Moore's Lake</t>
  </si>
  <si>
    <t>2024 Moore's Lake p1</t>
  </si>
  <si>
    <t>2024 Newberry Springs</t>
  </si>
  <si>
    <t>2024 Newberry Springs  - Lake Wainani</t>
  </si>
  <si>
    <t>2024 Newberry Springs  - Lake Wainani p1</t>
  </si>
  <si>
    <t>2024 North Regional Pond</t>
  </si>
  <si>
    <t>2024 North Regional Pond p1</t>
  </si>
  <si>
    <t>2024 OR Eureka Lane</t>
  </si>
  <si>
    <t>2024 Oregon State -  Eureka Lane</t>
  </si>
  <si>
    <t>2024 Oregon State -  Eureka Lane p1</t>
  </si>
  <si>
    <t>2024 Panoche Creek Preserve - Dollar Marsh East</t>
  </si>
  <si>
    <t>2024 Panoche Creek Marsh East</t>
  </si>
  <si>
    <t>2024 Panoche Creek Marsh East p1</t>
  </si>
  <si>
    <t>Cattails, bulrush</t>
  </si>
  <si>
    <t>1000-1500</t>
  </si>
  <si>
    <t>2024 Panoche Creek Preserve - Dollar Marsh South</t>
  </si>
  <si>
    <t>2024 Panoche Creek Marsh South</t>
  </si>
  <si>
    <t>2024 Panoche Creek Marsh East:</t>
  </si>
  <si>
    <t>2024 Panoche Creek Marsh South p1</t>
  </si>
  <si>
    <t>Several hundred</t>
  </si>
  <si>
    <t>2024 Panoche Creek Preserve - Dollar Marsh West</t>
  </si>
  <si>
    <t>2024 Panoche Creek Marsh West</t>
  </si>
  <si>
    <t>2024 Panoche Creek Marsh West p1</t>
  </si>
  <si>
    <t>2024 Rancho Jamul - Main Pond 1</t>
  </si>
  <si>
    <t>2024 Rancho Jamul - Main Pond 1 p1</t>
  </si>
  <si>
    <t>2024 Rancho Jamul - Main Pond 1 p2</t>
  </si>
  <si>
    <t>2024 Rancho Jamul - Main Pond 2</t>
  </si>
  <si>
    <t>2024 Rancho Jamul - Main Pond 1:</t>
  </si>
  <si>
    <t>2024 Rancho Jamul - Main Pond 2 p1</t>
  </si>
  <si>
    <t>2024 Rancho Jamul - Main Pond 2 p2</t>
  </si>
  <si>
    <t>2024 Rancho Jamul - North Pond</t>
  </si>
  <si>
    <t>2024 Rancho Jamul - North Pond p1</t>
  </si>
  <si>
    <t>2024 SJWA Thistle NW of Bridge Street Pond</t>
  </si>
  <si>
    <t>2024 San Jacinto Wildlife Area - Thistle Patch NW of Bridge Street Pond</t>
  </si>
  <si>
    <t>2024 San Jacinto Wildlife Area - Thistle Patch NW of Bridge Street Pond p1</t>
  </si>
  <si>
    <t>~6/13/2024</t>
  </si>
  <si>
    <t>~6/20/2024</t>
  </si>
  <si>
    <t>2024 Ohlone - Santa Lucia Preserve</t>
  </si>
  <si>
    <t>2024 Santa Lucia Preserve - Ohlone Pond</t>
  </si>
  <si>
    <t>2024 Santa Lucia Preserve - Ohlone Pond p1</t>
  </si>
  <si>
    <t>2024 Sedgwick</t>
  </si>
  <si>
    <t>2024 Sedgwick Reserve</t>
  </si>
  <si>
    <t>2024 Sedgwick Reserve p1</t>
  </si>
  <si>
    <t>2024 WA Harder Spring</t>
  </si>
  <si>
    <t>2024 Washington State - Harder Spring</t>
  </si>
  <si>
    <t>2024 Washington State - Harder Spring p1</t>
  </si>
  <si>
    <t>~6/22/2024</t>
  </si>
  <si>
    <t>2024 Washington State - Harder Spring p2</t>
  </si>
  <si>
    <t>2024 WA McCain Pond</t>
  </si>
  <si>
    <t>2024 Washington State - McCain Wetlands</t>
  </si>
  <si>
    <t>2024 Washington State - McCain Wetlands p1</t>
  </si>
  <si>
    <t>Cattails, common reed</t>
  </si>
  <si>
    <t>~5/24/2024</t>
  </si>
  <si>
    <t>2024 Wind Wolves Preserve - Los Lobos fix lat lon</t>
  </si>
  <si>
    <t>2024 Wind Wolves Preserve - Los Lobos</t>
  </si>
  <si>
    <t>2024 Wind Wolves Preserve - Los Lobos p1</t>
  </si>
  <si>
    <t>2024 Wind Wolves Preserve - Pleitito</t>
  </si>
  <si>
    <t>2024 Wind Wolves Preserve - Pleitito Creek</t>
  </si>
  <si>
    <t>2024 Wind Wolves Preserve - Pleitito Creek p1</t>
  </si>
  <si>
    <t>2024 Wind Wolves Preserve - Pleitito Creek p2</t>
  </si>
  <si>
    <t>2024 Wind Wolves Preserve - Santiago</t>
  </si>
  <si>
    <t>2024 Wind Wolves Preserve - Santiago Wetlands</t>
  </si>
  <si>
    <t>2024 Wind Wolves Preserve - Santiago Wetlands p1</t>
  </si>
  <si>
    <t>2024 Wind Wolves Preserve - Tevis fix lat lon</t>
  </si>
  <si>
    <t>2024 Wind Wolves Preserve - Tevis</t>
  </si>
  <si>
    <t>2024 Wind Wolves Preserve - Tevis p1</t>
  </si>
  <si>
    <t>Row Labels</t>
  </si>
  <si>
    <t>Grand Total</t>
  </si>
  <si>
    <t>Count of Outcome</t>
  </si>
  <si>
    <t>177 ARUs</t>
  </si>
  <si>
    <t>157 ARUs</t>
  </si>
  <si>
    <t>All minus Skip Site = Y</t>
  </si>
  <si>
    <t>Above - Skip Site = Dupe</t>
  </si>
  <si>
    <t>(blank)</t>
  </si>
  <si>
    <t>Total colonies</t>
  </si>
  <si>
    <t>Breeding attempts (Aband + PA + Success + unk)</t>
  </si>
  <si>
    <t>unknown</t>
  </si>
  <si>
    <t>no</t>
  </si>
  <si>
    <t>yes</t>
  </si>
  <si>
    <t>weather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</si>
</sst>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Schackwitz" refreshedDate="46035.627514930558" createdVersion="8" refreshedVersion="8" minRefreshableVersion="3" recordCount="211" xr:uid="{CC29C7D3-4149-47A8-8DED-FC466DF29144}">
  <cacheSource type="worksheet">
    <worksheetSource ref="A1:U212" sheet="breeding dates"/>
  </cacheSource>
  <cacheFields count="20">
    <cacheField name="Site ID" numFmtId="0">
      <sharedItems containsSemiMixedTypes="0" containsString="0" containsNumber="1" containsInteger="1" minValue="2059" maxValue="82621"/>
    </cacheField>
    <cacheField name="Group" numFmtId="0">
      <sharedItems/>
    </cacheField>
    <cacheField name="Name" numFmtId="0">
      <sharedItems/>
    </cacheField>
    <cacheField name="Pretty Name" numFmtId="0">
      <sharedItems/>
    </cacheField>
    <cacheField name="Comment" numFmtId="0">
      <sharedItems containsBlank="1" count="19">
        <m/>
        <s v="2018 Markham Ravine Main:"/>
        <s v="2018 SJWA Little Ramona:"/>
        <s v="2021 Conaway South:"/>
        <s v="2021 Erle Road-Reeds Creek South:"/>
        <s v="2021 Panoche Creek Marsh East 2: These were definitely in the same colony. 1E had much better data"/>
        <s v="2021 Willey Wetlands 3: "/>
        <s v="2022 Baja CiÃ©nega Redonda North: Had less detections than Baja 1. Keep Baja 1."/>
        <s v="2022 Conaway North:"/>
        <s v="2022 Foley Ranch A:"/>
        <s v="2022 Paicines Ranch - Teal Pond:"/>
        <s v="2022 Plumas Arboga 6 East:"/>
        <s v="2023 Hale Road:"/>
        <s v="2023 Laguna Frye Confluence 1:"/>
        <s v="2023 Panoche Creek Preserve - Corrals South East:"/>
        <s v="2023 Peterson Ranch Pond - East:"/>
        <s v="2024 Markham Ravine 1:"/>
        <s v="2024 Panoche Creek Marsh East:"/>
        <s v="2024 Rancho Jamul - Main Pond 1:"/>
      </sharedItems>
    </cacheField>
    <cacheField name="Deployment Start" numFmtId="14">
      <sharedItems containsSemiMixedTypes="0" containsNonDate="0" containsDate="1" containsString="0" minDate="2017-03-02T00:00:00" maxDate="2024-06-06T00:00:00"/>
    </cacheField>
    <cacheField name="Deployment End" numFmtId="14">
      <sharedItems containsSemiMixedTypes="0" containsNonDate="0" containsDate="1" containsString="0" minDate="2017-07-24T00:00:00" maxDate="2024-09-25T00:00:00"/>
    </cacheField>
    <cacheField name="Breeding Type" numFmtId="0">
      <sharedItems/>
    </cacheField>
    <cacheField name="Complex Types" numFmtId="0">
      <sharedItems containsBlank="1"/>
    </cacheField>
    <cacheField name="Pulse Name" numFmtId="0">
      <sharedItems/>
    </cacheField>
    <cacheField name="Outcome" numFmtId="0">
      <sharedItems count="6">
        <s v="Abandoned"/>
        <s v="Successful"/>
        <s v="No Colony"/>
        <s v="Partially Abandoned"/>
        <s v="Unknown"/>
        <s v="No TRBL"/>
      </sharedItems>
    </cacheField>
    <cacheField name="Substrate" numFmtId="0">
      <sharedItems/>
    </cacheField>
    <cacheField name="Colony Size" numFmtId="0">
      <sharedItems containsMixedTypes="1" containsNumber="1" containsInteger="1" minValue="0" maxValue="35000"/>
    </cacheField>
    <cacheField name="mcstart" numFmtId="0">
      <sharedItems containsDate="1" containsMixedTypes="1" minDate="2017-03-07T00:00:00" maxDate="2024-06-19T00:00:00"/>
    </cacheField>
    <cacheField name="incstart" numFmtId="0">
      <sharedItems containsDate="1" containsMixedTypes="1" minDate="2017-04-19T00:00:00" maxDate="2024-07-07T00:00:00"/>
    </cacheField>
    <cacheField name="hatch" numFmtId="0">
      <sharedItems containsDate="1" containsMixedTypes="1" minDate="2017-05-01T00:00:00" maxDate="2024-07-19T00:00:00"/>
    </cacheField>
    <cacheField name="fledgestart" numFmtId="0">
      <sharedItems containsDate="1" containsMixedTypes="1" minDate="2017-06-12T00:00:00" maxDate="2024-07-28T00:00:00"/>
    </cacheField>
    <cacheField name="fledgedisp" numFmtId="0">
      <sharedItems containsDate="1" containsMixedTypes="1" minDate="2017-06-26T00:00:00" maxDate="2024-08-02T00:00:00"/>
    </cacheField>
    <cacheField name="abandon" numFmtId="0">
      <sharedItems containsDate="1" containsMixedTypes="1" minDate="2017-05-03T00:00:00" maxDate="2023-06-05T00:00:00"/>
    </cacheField>
    <cacheField name="partial abandon" numFmtId="0">
      <sharedItems containsDate="1" containsMixedTypes="1" minDate="2019-05-24T00:00:00" maxDate="2024-06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2059"/>
    <s v="Solano County"/>
    <s v="2017 Rush Ranch"/>
    <s v="2017 Rush Ranch"/>
    <x v="0"/>
    <d v="2017-03-02T00:00:00"/>
    <d v="2017-07-24T00:00:00"/>
    <s v="Sequential"/>
    <m/>
    <s v="2017 Rush Ranch p1"/>
    <x v="0"/>
    <s v="Bulrush, cattails"/>
    <n v="800"/>
    <d v="2017-03-07T00:00:00"/>
    <d v="2017-04-19T00:00:00"/>
    <d v="2017-05-01T00:00:00"/>
    <s v="ND"/>
    <s v="ND"/>
    <d v="2017-05-03T00:00:00"/>
    <s v="ND"/>
  </r>
  <r>
    <n v="2059"/>
    <s v="Solano County"/>
    <s v="2017 Rush Ranch"/>
    <s v="2017 Rush Ranch"/>
    <x v="0"/>
    <d v="2017-03-02T00:00:00"/>
    <d v="2017-07-24T00:00:00"/>
    <s v="Sequential"/>
    <m/>
    <s v="2017 Rush Ranch p2"/>
    <x v="1"/>
    <s v="Bulrush, cattails"/>
    <n v="800"/>
    <d v="2017-05-08T00:00:00"/>
    <d v="2017-05-18T00:00:00"/>
    <d v="2017-05-30T00:00:00"/>
    <d v="2017-06-12T00:00:00"/>
    <d v="2017-06-26T00:00:00"/>
    <s v="ND"/>
    <s v="ND"/>
  </r>
  <r>
    <n v="2059"/>
    <s v="Solano County"/>
    <s v="2017 Rush Ranch"/>
    <s v="2017 Rush Ranch"/>
    <x v="0"/>
    <d v="2017-03-02T00:00:00"/>
    <d v="2017-07-24T00:00:00"/>
    <s v="Sequential"/>
    <m/>
    <s v="2017 Rush Ranch p3"/>
    <x v="1"/>
    <s v="Bulrush, cattails"/>
    <n v="800"/>
    <d v="2017-06-02T00:00:00"/>
    <d v="2017-06-16T00:00:00"/>
    <d v="2017-06-28T00:00:00"/>
    <s v="ND"/>
    <s v="ND"/>
    <s v="ND"/>
    <s v="ND"/>
  </r>
  <r>
    <n v="3150"/>
    <s v="Iron Point"/>
    <s v="2018 Iron Point"/>
    <s v="2018 Iron Point"/>
    <x v="0"/>
    <d v="2018-04-22T00:00:00"/>
    <d v="2018-05-19T00:00:00"/>
    <s v="No Colony"/>
    <m/>
    <s v="2018 Iron Point p1"/>
    <x v="2"/>
    <s v="Himalayan blackberry, willow"/>
    <n v="2000"/>
    <s v="pre"/>
    <s v="ND"/>
    <s v="ND"/>
    <s v="ND"/>
    <s v="ND"/>
    <s v="ND"/>
    <s v="ND"/>
  </r>
  <r>
    <n v="3348"/>
    <s v="Markham Ravine"/>
    <s v="2018 Markham Ravine Main"/>
    <s v="2018 Markham Ravine"/>
    <x v="0"/>
    <d v="2018-06-26T00:00:00"/>
    <d v="2018-07-23T00:00:00"/>
    <s v="Asynchronous"/>
    <m/>
    <s v="2018 Markham Ravine p1"/>
    <x v="1"/>
    <s v="Himalayan blackberry"/>
    <n v="1000"/>
    <s v="pre"/>
    <s v="pre"/>
    <s v="ND"/>
    <s v="ND"/>
    <s v="ND"/>
    <s v="ND"/>
    <s v="ND"/>
  </r>
  <r>
    <n v="3366"/>
    <s v="Markham Ravine"/>
    <s v="2018 Markham Ravine westside"/>
    <s v="2018 Markham Ravine - West"/>
    <x v="1"/>
    <d v="2018-06-26T00:00:00"/>
    <d v="2018-07-13T00:00:00"/>
    <s v="Unknown"/>
    <m/>
    <s v="2018 Markham Ravine - West p1"/>
    <x v="1"/>
    <s v="Himalayan blackberry"/>
    <n v="1000"/>
    <s v="pre"/>
    <s v="pre"/>
    <s v="pre"/>
    <s v="pre"/>
    <s v="post"/>
    <s v="ND"/>
    <s v="ND"/>
  </r>
  <r>
    <n v="3281"/>
    <s v="Placer County"/>
    <s v="2018 Red Wing Ranch"/>
    <s v="2018 Red Wing Ranch"/>
    <x v="0"/>
    <d v="2018-05-04T00:00:00"/>
    <d v="2018-06-04T00:00:00"/>
    <s v="Unknown"/>
    <m/>
    <s v="2018 Red Wing Ranch p1"/>
    <x v="0"/>
    <s v="Himalayan blackberry, Bulrush, cattails"/>
    <n v="3000"/>
    <s v="pre"/>
    <d v="2018-05-05T00:00:00"/>
    <d v="2018-05-17T00:00:00"/>
    <s v="ND"/>
    <s v="ND"/>
    <d v="2018-05-22T00:00:00"/>
    <s v="ND"/>
  </r>
  <r>
    <n v="2719"/>
    <s v="Solano County"/>
    <s v="2018 Rush Ranch"/>
    <s v="2018 Rush Ranch"/>
    <x v="0"/>
    <d v="2018-02-09T00:00:00"/>
    <d v="2018-06-26T00:00:00"/>
    <s v="Simple"/>
    <m/>
    <s v="2018 Rush Ranch p1"/>
    <x v="1"/>
    <s v="Bulrush, cattails"/>
    <n v="2000"/>
    <d v="2018-05-04T00:00:00"/>
    <d v="2018-05-14T00:00:00"/>
    <d v="2018-05-26T00:00:00"/>
    <d v="2018-06-11T00:00:00"/>
    <s v="post"/>
    <s v="ND"/>
    <s v="ND"/>
  </r>
  <r>
    <n v="3682"/>
    <s v="San Jacinto Wildlife Area"/>
    <s v="2018 SJWA-rose-2"/>
    <s v="2018 San Jacinto Wildlife Area - Bridge St. Pond"/>
    <x v="0"/>
    <d v="2018-04-10T00:00:00"/>
    <d v="2018-04-27T00:00:00"/>
    <s v="Unknown"/>
    <m/>
    <s v="2018 San Jacinto Wildlife Area - Bridge St. Pond p1"/>
    <x v="0"/>
    <s v="Bulrush, cattails"/>
    <n v="30000"/>
    <s v="pre"/>
    <s v="ND"/>
    <s v="ND"/>
    <s v="ND"/>
    <s v="ND"/>
    <d v="2018-04-22T00:00:00"/>
    <s v="ND"/>
  </r>
  <r>
    <n v="3417"/>
    <s v="San Jacinto Wildlife Area"/>
    <s v="2018 SJWA-rose-1"/>
    <s v="2018 San Jacinto Wildlife Area - Little Ramona"/>
    <x v="2"/>
    <d v="2018-04-02T00:00:00"/>
    <d v="2018-04-10T00:00:00"/>
    <s v="No Colony"/>
    <m/>
    <s v="2018 San Jacinto Wildlife Area - Little Ramona p1"/>
    <x v="2"/>
    <s v="Bulrush, cattails"/>
    <n v="30000"/>
    <s v="ND"/>
    <s v="ND"/>
    <s v="ND"/>
    <s v="ND"/>
    <s v="ND"/>
    <s v="ND"/>
    <s v="ND"/>
  </r>
  <r>
    <n v="82621"/>
    <s v="San Jacinto Wildlife Area"/>
    <s v="2018 SJWA WSS"/>
    <s v="2018 SJWA Little Ramona"/>
    <x v="0"/>
    <d v="2018-04-02T00:00:00"/>
    <d v="2018-05-01T00:00:00"/>
    <s v="Unknown"/>
    <m/>
    <s v="2018 SJWA Little Ramona p1"/>
    <x v="0"/>
    <s v="Bulrush, cattails"/>
    <n v="30000"/>
    <d v="2018-04-10T00:00:00"/>
    <s v="~4/12/2018"/>
    <s v="~4/24/2018"/>
    <s v="ND"/>
    <s v="ND"/>
    <d v="2018-04-22T00:00:00"/>
    <s v="ND"/>
  </r>
  <r>
    <n v="5642"/>
    <s v="Colusa NWR"/>
    <s v="2019 Colusa NWR 27-1"/>
    <s v="2019 Colusa NWR T27.1"/>
    <x v="0"/>
    <d v="2019-05-27T00:00:00"/>
    <d v="2019-08-12T00:00:00"/>
    <s v="Simple"/>
    <m/>
    <s v="2019 Colusa NWR T27.1 p1"/>
    <x v="1"/>
    <s v="Bulrush, cattails"/>
    <n v="20000"/>
    <s v="pre"/>
    <s v="ND"/>
    <s v="ND"/>
    <d v="2019-06-27T00:00:00"/>
    <d v="2019-07-22T00:00:00"/>
    <s v="ND"/>
    <s v="ND"/>
  </r>
  <r>
    <n v="5643"/>
    <s v="Colusa NWR"/>
    <s v="2019 Colusa NWR 27-2"/>
    <s v="2019 Colusa NWR T27.2"/>
    <x v="0"/>
    <d v="2019-05-21T00:00:00"/>
    <d v="2019-06-18T00:00:00"/>
    <s v="Simple"/>
    <m/>
    <s v="2019 Colusa NWR T27.2 p1"/>
    <x v="3"/>
    <s v="Bulrush, cattails"/>
    <n v="60"/>
    <s v="pre"/>
    <d v="2019-05-17T00:00:00"/>
    <d v="2019-05-29T00:00:00"/>
    <s v="~6/14/2019"/>
    <s v="~6/15/2019"/>
    <s v="ND"/>
    <d v="2019-05-26T00:00:00"/>
  </r>
  <r>
    <n v="4455"/>
    <s v="Solano County"/>
    <s v="2019 Creed Road"/>
    <s v="2019 Denverton Creek"/>
    <x v="0"/>
    <d v="2019-03-17T00:00:00"/>
    <d v="2019-07-07T00:00:00"/>
    <s v="Sequential"/>
    <m/>
    <s v="2019 Denverton Creek p1"/>
    <x v="1"/>
    <s v="Himalayan blackberry"/>
    <n v="1000"/>
    <d v="2019-03-26T00:00:00"/>
    <d v="2019-04-28T00:00:00"/>
    <d v="2019-05-10T00:00:00"/>
    <d v="2019-05-23T00:00:00"/>
    <d v="2019-06-02T00:00:00"/>
    <s v="ND"/>
    <s v="ND"/>
  </r>
  <r>
    <n v="4455"/>
    <s v="Solano County"/>
    <s v="2019 Creed Road"/>
    <s v="2019 Denverton Creek"/>
    <x v="0"/>
    <d v="2019-03-17T00:00:00"/>
    <d v="2019-07-07T00:00:00"/>
    <s v="Sequential"/>
    <m/>
    <s v="2019 Denverton Creek p2"/>
    <x v="0"/>
    <s v="Himalayan blackberry"/>
    <n v="1000"/>
    <d v="2019-05-19T00:00:00"/>
    <d v="2019-05-26T00:00:00"/>
    <s v="~5/31/2019"/>
    <s v="ND"/>
    <s v="ND"/>
    <d v="2019-05-31T00:00:00"/>
    <s v="ND"/>
  </r>
  <r>
    <n v="4456"/>
    <s v="Solano County"/>
    <s v="2019 Hay Landfill"/>
    <s v="2019 Hay Landfill"/>
    <x v="0"/>
    <d v="2019-04-08T00:00:00"/>
    <d v="2019-07-07T00:00:00"/>
    <s v="Sequential"/>
    <m/>
    <s v="2019 Hay Landfill p1"/>
    <x v="1"/>
    <s v="Bulrush, cattails"/>
    <n v="4000"/>
    <d v="2019-04-08T00:00:00"/>
    <d v="2019-04-15T00:00:00"/>
    <d v="2019-04-27T00:00:00"/>
    <d v="2019-05-11T00:00:00"/>
    <d v="2019-05-30T00:00:00"/>
    <s v="ND"/>
    <s v="ND"/>
  </r>
  <r>
    <n v="4456"/>
    <s v="Solano County"/>
    <s v="2019 Hay Landfill"/>
    <s v="2019 Hay Landfill"/>
    <x v="0"/>
    <d v="2019-04-08T00:00:00"/>
    <d v="2019-07-07T00:00:00"/>
    <s v="Sequential"/>
    <m/>
    <s v="2019 Hay Landfill p2"/>
    <x v="3"/>
    <s v="Bulrush, cattails"/>
    <n v="4000"/>
    <d v="2019-05-19T00:00:00"/>
    <d v="2019-05-28T00:00:00"/>
    <d v="2019-06-09T00:00:00"/>
    <d v="2019-06-23T00:00:00"/>
    <d v="2019-07-03T00:00:00"/>
    <s v="ND"/>
    <d v="2019-06-13T00:00:00"/>
  </r>
  <r>
    <n v="4979"/>
    <s v="Iron Point"/>
    <s v="2019 Iron Point"/>
    <s v="2019 Iron Point"/>
    <x v="0"/>
    <d v="2019-04-24T00:00:00"/>
    <d v="2019-08-01T00:00:00"/>
    <s v="Asynchronous"/>
    <m/>
    <s v="2019 Iron Point p1"/>
    <x v="1"/>
    <s v="Himalayan blackberry, willow"/>
    <n v="1500"/>
    <s v="pre"/>
    <d v="2019-04-21T00:00:00"/>
    <d v="2019-05-03T00:00:00"/>
    <d v="2019-05-14T00:00:00"/>
    <d v="2019-07-07T00:00:00"/>
    <s v="ND"/>
    <s v="ND"/>
  </r>
  <r>
    <n v="4639"/>
    <s v="Solano County"/>
    <s v="2019 Leisure Town"/>
    <s v="2019 Leisure Town Road"/>
    <x v="0"/>
    <d v="2019-03-17T00:00:00"/>
    <d v="2019-07-07T00:00:00"/>
    <s v="Sequential"/>
    <m/>
    <s v="2019 Leisure Town Road p1"/>
    <x v="1"/>
    <s v="Bulrush, cattails"/>
    <n v="2000"/>
    <d v="2019-03-29T00:00:00"/>
    <s v="ND"/>
    <s v="ND"/>
    <d v="2019-05-17T00:00:00"/>
    <s v="~5/21/2019"/>
    <s v="ND"/>
    <s v="ND"/>
  </r>
  <r>
    <n v="4639"/>
    <s v="Solano County"/>
    <s v="2019 Leisure Town"/>
    <s v="2019 Leisure Town Road"/>
    <x v="0"/>
    <d v="2019-03-17T00:00:00"/>
    <d v="2019-07-07T00:00:00"/>
    <s v="Sequential"/>
    <m/>
    <s v="2019 Leisure Town Road p2"/>
    <x v="1"/>
    <s v="Bulrush, cattails"/>
    <n v="2000"/>
    <d v="2019-05-19T00:00:00"/>
    <s v="ND"/>
    <s v="ND"/>
    <s v="~6/17/2019"/>
    <s v="post"/>
    <s v="ND"/>
    <s v="ND"/>
  </r>
  <r>
    <n v="5637"/>
    <s v="Markham Ravine"/>
    <s v="2019 Markham Ravine"/>
    <s v="2019 Markham Ravine"/>
    <x v="0"/>
    <d v="2019-05-10T00:00:00"/>
    <d v="2019-07-08T00:00:00"/>
    <s v="Simple"/>
    <m/>
    <s v="2019 Markham Ravine p1"/>
    <x v="3"/>
    <s v="Himalayan blackberry, willow"/>
    <n v="1500"/>
    <s v="pre"/>
    <d v="2019-05-16T00:00:00"/>
    <d v="2019-05-28T00:00:00"/>
    <d v="2019-06-16T00:00:00"/>
    <d v="2019-06-22T00:00:00"/>
    <s v="ND"/>
    <d v="2019-05-28T00:00:00"/>
  </r>
  <r>
    <n v="5640"/>
    <s v="Markham Ravine"/>
    <s v="2019 Markham Ravine 2"/>
    <s v="2019 Markham Ravine 2"/>
    <x v="0"/>
    <d v="2019-05-10T00:00:00"/>
    <d v="2019-07-08T00:00:00"/>
    <s v="Simple"/>
    <m/>
    <s v="2019 Markham Ravine 2 p1"/>
    <x v="3"/>
    <s v="Himalayan blackberry, willow"/>
    <n v="10000"/>
    <s v="pre"/>
    <d v="2019-05-19T00:00:00"/>
    <d v="2019-05-31T00:00:00"/>
    <s v="~6/9/2019"/>
    <s v="~6/21/2019"/>
    <s v="ND"/>
    <d v="2019-05-24T00:00:00"/>
  </r>
  <r>
    <n v="5638"/>
    <s v="Solano County"/>
    <s v="2019 Rush Ranch"/>
    <s v="2019 Rush Ranch"/>
    <x v="0"/>
    <d v="2019-02-06T00:00:00"/>
    <d v="2019-07-06T00:00:00"/>
    <s v="Unknown"/>
    <m/>
    <s v="2019 Rush Ranch p1"/>
    <x v="0"/>
    <s v="Bulrush, cattails"/>
    <n v="500"/>
    <d v="2019-05-01T00:00:00"/>
    <s v="~5/5/2019"/>
    <s v="~5/17/2019"/>
    <s v="ND"/>
    <s v="ND"/>
    <d v="2019-05-22T00:00:00"/>
    <s v="ND"/>
  </r>
  <r>
    <n v="7657"/>
    <s v="Central Sacramento Valley"/>
    <s v="2020 Conaway Ranch"/>
    <s v="2020 Conaway Ranch"/>
    <x v="0"/>
    <d v="2020-05-18T00:00:00"/>
    <d v="2020-07-10T00:00:00"/>
    <s v="Asynchronous"/>
    <m/>
    <s v="2020 Conaway Ranch p1"/>
    <x v="1"/>
    <s v="Cattails with bulrush"/>
    <s v="NEED"/>
    <s v="pre"/>
    <d v="2020-05-25T00:00:00"/>
    <d v="2020-06-06T00:00:00"/>
    <d v="2020-06-18T00:00:00"/>
    <s v="post"/>
    <s v="ND"/>
    <s v="ND"/>
  </r>
  <r>
    <n v="2908"/>
    <s v="Solano County"/>
    <s v="2020 Creed Road"/>
    <s v="2020 Denverton Creek"/>
    <x v="0"/>
    <d v="2020-02-12T00:00:00"/>
    <d v="2020-07-11T00:00:00"/>
    <s v="No Colony"/>
    <m/>
    <s v="2020 Denverton Creek p1"/>
    <x v="2"/>
    <s v="Himalayan blackberry"/>
    <n v="1000"/>
    <s v="ND"/>
    <s v="ND"/>
    <s v="ND"/>
    <s v="ND"/>
    <s v="ND"/>
    <s v="ND"/>
    <s v="ND"/>
  </r>
  <r>
    <n v="57589"/>
    <s v="Monterey"/>
    <s v="2020 Fort Ord"/>
    <s v="2020 Fort Ord"/>
    <x v="0"/>
    <d v="2020-04-08T00:00:00"/>
    <d v="2020-07-15T00:00:00"/>
    <s v="Simple"/>
    <m/>
    <s v="2020 Fort Ord p1"/>
    <x v="1"/>
    <s v="NEED"/>
    <s v="No Colony"/>
    <s v="pre"/>
    <d v="2020-04-12T00:00:00"/>
    <d v="2020-04-24T00:00:00"/>
    <d v="2020-05-09T00:00:00"/>
    <d v="2020-06-01T00:00:00"/>
    <s v="ND"/>
    <s v="ND"/>
  </r>
  <r>
    <n v="6199"/>
    <s v="Solano County"/>
    <s v="2020 Hay Landfill"/>
    <s v="2020 Hay Landfill"/>
    <x v="0"/>
    <d v="2020-02-12T00:00:00"/>
    <d v="2020-07-10T00:00:00"/>
    <s v="Asynchronous"/>
    <m/>
    <s v="2020 Hay Landfill p1"/>
    <x v="1"/>
    <s v="Bulrush, cattails"/>
    <n v="4000"/>
    <d v="2020-04-03T00:00:00"/>
    <d v="2020-04-18T00:00:00"/>
    <d v="2020-04-30T00:00:00"/>
    <d v="2020-05-11T00:00:00"/>
    <s v="post"/>
    <s v="ND"/>
    <s v="ND"/>
  </r>
  <r>
    <n v="6199"/>
    <s v="Solano County"/>
    <s v="2020 Hay Landfill"/>
    <s v="2020 Hay Landfill"/>
    <x v="0"/>
    <d v="2020-02-12T00:00:00"/>
    <d v="2020-07-10T00:00:00"/>
    <s v="Asynchronous"/>
    <m/>
    <s v="2020 Hay Landfill p2"/>
    <x v="1"/>
    <s v="Bulrush, cattails"/>
    <n v="4000"/>
    <s v="ND"/>
    <s v="ND"/>
    <s v="ND"/>
    <s v="ND"/>
    <s v="ND"/>
    <s v="ND"/>
    <s v="ND"/>
  </r>
  <r>
    <n v="7650"/>
    <s v="Iron Point"/>
    <s v="2020 Iron Point"/>
    <s v="2020 Iron Point"/>
    <x v="0"/>
    <d v="2020-04-19T00:00:00"/>
    <d v="2020-08-05T00:00:00"/>
    <s v="No Colony"/>
    <m/>
    <s v="2020 Iron Point p1"/>
    <x v="2"/>
    <s v="Himalayan blackberry, willow"/>
    <s v="No Colony"/>
    <s v="ND"/>
    <s v="ND"/>
    <s v="ND"/>
    <s v="ND"/>
    <s v="ND"/>
    <s v="ND"/>
    <s v="ND"/>
  </r>
  <r>
    <n v="6404"/>
    <s v="Markham Ravine"/>
    <s v="2020 Markham Ravine"/>
    <s v="2020 Markham Ravine"/>
    <x v="0"/>
    <d v="2020-04-28T00:00:00"/>
    <d v="2020-06-24T00:00:00"/>
    <s v="Simple"/>
    <m/>
    <s v="2020 Markham Ravine p1"/>
    <x v="3"/>
    <s v="Himalayan blackberry, willow"/>
    <n v="1000"/>
    <d v="2020-04-29T00:00:00"/>
    <d v="2020-05-07T00:00:00"/>
    <d v="2020-05-19T00:00:00"/>
    <s v="~5/30/2020"/>
    <d v="2020-06-08T00:00:00"/>
    <s v="ND"/>
    <d v="2020-05-18T00:00:00"/>
  </r>
  <r>
    <n v="2915"/>
    <s v="Solano County"/>
    <s v="2020 Rush Ranch"/>
    <s v="2020 Rush Ranch"/>
    <x v="0"/>
    <d v="2020-02-12T00:00:00"/>
    <d v="2020-07-10T00:00:00"/>
    <s v="No Colony"/>
    <m/>
    <s v="2020 Rush Ranch p1"/>
    <x v="2"/>
    <s v="Bulrush, cattails"/>
    <s v="No Colony"/>
    <s v="ND"/>
    <s v="ND"/>
    <s v="ND"/>
    <s v="ND"/>
    <s v="ND"/>
    <s v="ND"/>
    <s v="ND"/>
  </r>
  <r>
    <n v="18572"/>
    <s v="Monterey"/>
    <s v="2020 Ohlone - Santa Lucia Preserve"/>
    <s v="2020 Santa Lucia Preserve - Ohlone Pond"/>
    <x v="0"/>
    <d v="2020-03-25T00:00:00"/>
    <d v="2020-07-18T00:00:00"/>
    <s v="Simple"/>
    <m/>
    <s v="2020 Santa Lucia Preserve - Ohlone Pond p1"/>
    <x v="1"/>
    <s v="NEED"/>
    <s v="NEED"/>
    <s v="ND"/>
    <s v="~4/22/2020"/>
    <s v="~5/4/2020"/>
    <d v="2020-05-12T00:00:00"/>
    <d v="2020-06-19T00:00:00"/>
    <s v="ND"/>
    <s v="ND"/>
  </r>
  <r>
    <n v="24130"/>
    <s v="Colusa NWR"/>
    <s v="2021 Colusa NWR 27-1"/>
    <s v="2021 Colusa NWR T27.1"/>
    <x v="0"/>
    <d v="2021-04-21T00:00:00"/>
    <d v="2021-06-26T00:00:00"/>
    <s v="Simple"/>
    <m/>
    <s v="2021 Colusa NWR T27.1 p1"/>
    <x v="1"/>
    <s v="Bulrush, cattails"/>
    <s v="NEED"/>
    <d v="2021-05-11T00:00:00"/>
    <d v="2021-05-25T00:00:00"/>
    <d v="2021-06-06T00:00:00"/>
    <s v="~6/15/2021"/>
    <d v="2021-06-17T00:00:00"/>
    <s v="ND"/>
    <s v="ND"/>
  </r>
  <r>
    <n v="24221"/>
    <s v="Colusa NWR"/>
    <s v="2021 Colusa NWR 27-2"/>
    <s v="2021 Colusa NWR T27.2"/>
    <x v="0"/>
    <d v="2021-04-21T00:00:00"/>
    <d v="2021-06-21T00:00:00"/>
    <s v="Unknown"/>
    <m/>
    <s v="2021 Colusa NWR T27.2 p1"/>
    <x v="4"/>
    <s v="Bulrush, cattails"/>
    <s v="NEED"/>
    <d v="2021-05-18T00:00:00"/>
    <d v="2021-06-04T00:00:00"/>
    <d v="2021-06-16T00:00:00"/>
    <s v="post"/>
    <s v="post"/>
    <s v="ND"/>
    <s v="ND"/>
  </r>
  <r>
    <n v="21652"/>
    <s v="Central Sacramento Valley"/>
    <s v="2021 Conaway East"/>
    <s v="2021 Conaway East"/>
    <x v="3"/>
    <d v="2021-05-20T00:00:00"/>
    <d v="2021-07-05T00:00:00"/>
    <s v="Simple"/>
    <m/>
    <s v="2021 Conaway East p1"/>
    <x v="1"/>
    <s v="Cattails with bulrush"/>
    <n v="10000"/>
    <s v="pre"/>
    <d v="2021-05-29T00:00:00"/>
    <d v="2021-06-10T00:00:00"/>
    <d v="2021-06-20T00:00:00"/>
    <s v="post"/>
    <s v="ND"/>
    <s v="ND"/>
  </r>
  <r>
    <n v="24652"/>
    <s v="Central Sacramento Valley"/>
    <s v="2021 Conaway South"/>
    <s v="2021 Conaway South"/>
    <x v="0"/>
    <d v="2021-05-20T00:00:00"/>
    <d v="2021-07-05T00:00:00"/>
    <s v="Simple"/>
    <m/>
    <s v="2021 Conaway South p1"/>
    <x v="1"/>
    <s v="Cattails with bulrush"/>
    <n v="10000"/>
    <d v="2021-05-21T00:00:00"/>
    <d v="2021-05-28T00:00:00"/>
    <d v="2021-06-09T00:00:00"/>
    <d v="2021-06-23T00:00:00"/>
    <d v="2021-07-03T00:00:00"/>
    <s v="ND"/>
    <s v="ND"/>
  </r>
  <r>
    <n v="21591"/>
    <s v="Central Sacramento Valley"/>
    <s v="2021 Conaway West"/>
    <s v="2021 Conaway West"/>
    <x v="3"/>
    <d v="2021-05-12T00:00:00"/>
    <d v="2021-06-28T00:00:00"/>
    <s v="Simple"/>
    <m/>
    <s v="2021 Conaway West p1"/>
    <x v="1"/>
    <s v="Cattails with bulrush"/>
    <n v="10000"/>
    <s v="pre"/>
    <d v="2021-05-21T00:00:00"/>
    <d v="2021-06-02T00:00:00"/>
    <d v="2021-06-13T00:00:00"/>
    <s v="post"/>
    <s v="ND"/>
    <s v="ND"/>
  </r>
  <r>
    <n v="24122"/>
    <s v="CNLM"/>
    <s v="2021 Dagnino Pond"/>
    <s v="2021 Dagnino Pond"/>
    <x v="0"/>
    <d v="2021-04-29T00:00:00"/>
    <d v="2021-07-12T00:00:00"/>
    <s v="No Colony"/>
    <m/>
    <s v="2021 Dagnino Pond p1"/>
    <x v="2"/>
    <s v="Bulrush, cattails, Mustard"/>
    <s v="No Colony"/>
    <s v="ND"/>
    <s v="ND"/>
    <s v="ND"/>
    <s v="ND"/>
    <s v="ND"/>
    <s v="ND"/>
    <s v="ND"/>
  </r>
  <r>
    <n v="21681"/>
    <s v="Solano County"/>
    <s v="2021 Creed Road"/>
    <s v="2021 Denverton Creek"/>
    <x v="0"/>
    <d v="2021-02-02T00:00:00"/>
    <d v="2021-05-12T00:00:00"/>
    <s v="No Colony"/>
    <m/>
    <s v="2021 Denverton Creek p1"/>
    <x v="2"/>
    <s v="Himalayan blackberry"/>
    <n v="1000"/>
    <s v="ND"/>
    <s v="ND"/>
    <s v="ND"/>
    <s v="ND"/>
    <s v="ND"/>
    <s v="ND"/>
    <s v="ND"/>
  </r>
  <r>
    <n v="24651"/>
    <s v="Central Sacramento Valley"/>
    <s v="2021 Reeds Creek North"/>
    <s v="2021 Erle Road-Reeds Creek North"/>
    <x v="4"/>
    <d v="2021-05-04T00:00:00"/>
    <d v="2021-05-20T00:00:00"/>
    <s v="Unknown"/>
    <m/>
    <s v="2021 Erle Road-Reeds Creek North p1"/>
    <x v="0"/>
    <s v="Himalayan blackberry, lettuce"/>
    <n v="1000"/>
    <s v="pre"/>
    <s v="ND"/>
    <s v="ND"/>
    <s v="abandoned"/>
    <s v="abandoned"/>
    <d v="2021-05-14T00:00:00"/>
    <s v="ND"/>
  </r>
  <r>
    <n v="24653"/>
    <s v="Central Sacramento Valley"/>
    <s v="2021 Reeds Creek South"/>
    <s v="2021 Erle Road-Reeds Creek South"/>
    <x v="0"/>
    <d v="2021-05-04T00:00:00"/>
    <d v="2021-05-20T00:00:00"/>
    <s v="Unknown"/>
    <m/>
    <s v="2021 Erle Road-Reeds Creek South p1"/>
    <x v="4"/>
    <s v="Himalayan blackberry"/>
    <n v="1500"/>
    <s v="pre"/>
    <d v="2021-05-06T00:00:00"/>
    <d v="2021-05-18T00:00:00"/>
    <s v="post"/>
    <s v="post"/>
    <s v="ND"/>
    <s v="ND"/>
  </r>
  <r>
    <n v="21668"/>
    <s v="Central Sacramento Valley"/>
    <s v="2021 Foley Ranch"/>
    <s v="2021 Foley Ranch"/>
    <x v="0"/>
    <d v="2021-05-04T00:00:00"/>
    <d v="2021-06-14T00:00:00"/>
    <s v="Sequential"/>
    <m/>
    <s v="2021 Foley Ranch p1"/>
    <x v="1"/>
    <s v="NEED"/>
    <s v="NEED"/>
    <s v="pre"/>
    <d v="2021-04-30T00:00:00"/>
    <d v="2021-05-12T00:00:00"/>
    <d v="2021-05-24T00:00:00"/>
    <s v="post"/>
    <s v="ND"/>
    <s v="ND"/>
  </r>
  <r>
    <n v="21668"/>
    <s v="Central Sacramento Valley"/>
    <s v="2021 Foley Ranch"/>
    <s v="2021 Foley Ranch"/>
    <x v="0"/>
    <d v="2021-05-04T00:00:00"/>
    <d v="2021-06-14T00:00:00"/>
    <s v="Sequential"/>
    <m/>
    <s v="2021 Foley Ranch p2"/>
    <x v="4"/>
    <s v="NEED"/>
    <s v="NEED"/>
    <d v="2021-05-23T00:00:00"/>
    <d v="2021-05-31T00:00:00"/>
    <d v="2021-06-12T00:00:00"/>
    <s v="post"/>
    <s v="post"/>
    <s v="ND"/>
    <s v="ND"/>
  </r>
  <r>
    <n v="21688"/>
    <s v="Central Sacramento Valley"/>
    <s v="2021 Hale Road 2"/>
    <s v="2021 Hale Road 2"/>
    <x v="0"/>
    <d v="2021-05-04T00:00:00"/>
    <d v="2021-06-14T00:00:00"/>
    <s v="Simple"/>
    <m/>
    <s v="2021 Hale Road 2 p1"/>
    <x v="1"/>
    <s v="Himalayan blackberry, bulrush"/>
    <n v="7000"/>
    <s v="pre"/>
    <d v="2021-05-01T00:00:00"/>
    <d v="2021-05-13T00:00:00"/>
    <d v="2021-05-28T00:00:00"/>
    <d v="2021-06-04T00:00:00"/>
    <s v="ND"/>
    <s v="ND"/>
  </r>
  <r>
    <n v="11101"/>
    <s v="Solano County"/>
    <s v="2021 Hay Landfill"/>
    <s v="2021 Hay Landfill"/>
    <x v="0"/>
    <d v="2021-02-02T00:00:00"/>
    <d v="2021-05-08T00:00:00"/>
    <s v="Unknown"/>
    <m/>
    <s v="2021 Hay Landfill p1"/>
    <x v="4"/>
    <s v="Bulrush, cattails"/>
    <n v="4000"/>
    <d v="2021-03-31T00:00:00"/>
    <d v="2021-04-12T00:00:00"/>
    <d v="2021-04-24T00:00:00"/>
    <s v="post"/>
    <s v="post"/>
    <s v="ND"/>
    <s v="ND"/>
  </r>
  <r>
    <n v="24658"/>
    <s v="Iron Point"/>
    <s v="2021 Iron Point"/>
    <s v="2021 Iron Point"/>
    <x v="0"/>
    <d v="2021-02-02T00:00:00"/>
    <d v="2021-05-14T00:00:00"/>
    <s v="No Colony"/>
    <m/>
    <s v="2021 Iron Point p1"/>
    <x v="2"/>
    <s v="Himalayan blackberry, willow"/>
    <s v="No Colony"/>
    <d v="2021-04-03T00:00:00"/>
    <s v="ND"/>
    <s v="ND"/>
    <s v="ND"/>
    <s v="ND"/>
    <s v="ND"/>
    <s v="ND"/>
  </r>
  <r>
    <n v="24606"/>
    <s v="Southern Sierra Research Station"/>
    <s v="2021 Kern 1"/>
    <s v="2021 Kern 1"/>
    <x v="0"/>
    <d v="2021-04-09T00:00:00"/>
    <d v="2021-08-05T00:00:00"/>
    <s v="Simple"/>
    <m/>
    <s v="2021 Kern 1 p1"/>
    <x v="1"/>
    <s v="Stinging nettle, mulefat"/>
    <s v="NEED"/>
    <d v="2021-04-29T00:00:00"/>
    <d v="2021-05-20T00:00:00"/>
    <d v="2021-06-01T00:00:00"/>
    <s v="ND"/>
    <s v="~6/24/2021"/>
    <s v="ND"/>
    <s v="ND"/>
  </r>
  <r>
    <n v="24544"/>
    <s v="Southern Sierra Research Station"/>
    <s v="2021 Kern 2"/>
    <s v="2021 Kern 2"/>
    <x v="0"/>
    <d v="2021-04-06T00:00:00"/>
    <d v="2021-07-30T00:00:00"/>
    <s v="No Colony"/>
    <m/>
    <s v="2021 Kern 2 p1"/>
    <x v="2"/>
    <s v="Cattails"/>
    <s v="No Colony"/>
    <s v="ND"/>
    <s v="ND"/>
    <s v="ND"/>
    <s v="ND"/>
    <s v="ND"/>
    <s v="ND"/>
    <s v="ND"/>
  </r>
  <r>
    <n v="24641"/>
    <s v="Southern Sierra Research Station"/>
    <s v="2021 Kern 3"/>
    <s v="2021 Kern 3"/>
    <x v="0"/>
    <d v="2021-04-06T00:00:00"/>
    <d v="2021-08-05T00:00:00"/>
    <s v="No Colony"/>
    <m/>
    <s v="2021 Kern 3 p1"/>
    <x v="2"/>
    <s v="Bulrush"/>
    <s v="No Colony"/>
    <s v="ND"/>
    <s v="ND"/>
    <s v="ND"/>
    <s v="ND"/>
    <s v="ND"/>
    <s v="ND"/>
    <s v="ND"/>
  </r>
  <r>
    <n v="24655"/>
    <s v="Southern Sierra Research Station"/>
    <s v="2021 Kern 4"/>
    <s v="2021 Kern 4"/>
    <x v="0"/>
    <d v="2021-04-19T00:00:00"/>
    <d v="2021-08-10T00:00:00"/>
    <s v="Simple"/>
    <m/>
    <s v="2021 Kern 4 p1"/>
    <x v="3"/>
    <s v="Stinging nettle"/>
    <s v="NEED"/>
    <d v="2021-04-27T00:00:00"/>
    <d v="2021-05-12T00:00:00"/>
    <d v="2021-05-24T00:00:00"/>
    <s v="~5/31/2021"/>
    <s v="~6/12/2021"/>
    <s v="ND"/>
    <d v="2021-05-07T00:00:00"/>
  </r>
  <r>
    <n v="26534"/>
    <s v="Southern Sierra Research Station"/>
    <s v="2021 Kern 5"/>
    <s v="2021 Kern 5"/>
    <x v="0"/>
    <d v="2021-04-27T00:00:00"/>
    <d v="2021-08-17T00:00:00"/>
    <s v="Complex"/>
    <s v="Asynchronous, Sequential"/>
    <s v="2021 Kern 5 p1"/>
    <x v="1"/>
    <s v="Himalayan blackberry"/>
    <s v="NEED"/>
    <s v="pre"/>
    <s v="pre"/>
    <s v="pre"/>
    <d v="2021-05-18T00:00:00"/>
    <d v="2021-06-02T00:00:00"/>
    <s v="ND"/>
    <s v="ND"/>
  </r>
  <r>
    <n v="26534"/>
    <s v="Southern Sierra Research Station"/>
    <s v="2021 Kern 5"/>
    <s v="2021 Kern 5"/>
    <x v="0"/>
    <d v="2021-04-27T00:00:00"/>
    <d v="2021-08-17T00:00:00"/>
    <s v="Complex"/>
    <s v="Asynchronous, Sequential"/>
    <s v="2021 Kern 5 p2"/>
    <x v="1"/>
    <s v="Himalayan blackberry"/>
    <s v="NEED"/>
    <s v="ND"/>
    <s v="ND"/>
    <d v="2021-05-23T00:00:00"/>
    <d v="2021-06-09T00:00:00"/>
    <d v="2021-06-17T00:00:00"/>
    <s v="ND"/>
    <s v="ND"/>
  </r>
  <r>
    <n v="26535"/>
    <s v="Southern Sierra Research Station"/>
    <s v="2021 Kern 6"/>
    <s v="2021 Kern 6"/>
    <x v="0"/>
    <d v="2021-05-01T00:00:00"/>
    <d v="2021-08-21T00:00:00"/>
    <s v="No TRBL"/>
    <m/>
    <s v="2021 Kern 6 p1"/>
    <x v="5"/>
    <s v="Cattails"/>
    <s v="No Colony"/>
    <s v="ND"/>
    <s v="ND"/>
    <s v="ND"/>
    <s v="ND"/>
    <s v="ND"/>
    <s v="ND"/>
    <s v="ND"/>
  </r>
  <r>
    <n v="26536"/>
    <s v="Southern Sierra Research Station"/>
    <s v="2021 Kern 7"/>
    <s v="2021 Kern 7"/>
    <x v="0"/>
    <d v="2021-05-17T00:00:00"/>
    <d v="2021-09-01T00:00:00"/>
    <s v="Unknown"/>
    <m/>
    <s v="2021 Kern 7 p1"/>
    <x v="0"/>
    <s v="Stinging nettle"/>
    <s v="NEED"/>
    <s v="pre"/>
    <d v="2021-05-19T00:00:00"/>
    <d v="2021-05-31T00:00:00"/>
    <s v="ND"/>
    <s v="ND"/>
    <d v="2021-06-05T00:00:00"/>
    <s v="ND"/>
  </r>
  <r>
    <n v="26432"/>
    <s v="Markham Ravine"/>
    <s v="2021 Markham Ravine"/>
    <s v="2021 Markham Ravine"/>
    <x v="0"/>
    <d v="2021-04-30T00:00:00"/>
    <d v="2021-06-23T00:00:00"/>
    <s v="No TRBL"/>
    <m/>
    <s v="2021 Markham Ravine p1"/>
    <x v="5"/>
    <s v="Himalayan blackberry, willow"/>
    <s v="No Colony"/>
    <s v="ND"/>
    <s v="ND"/>
    <s v="ND"/>
    <s v="ND"/>
    <s v="ND"/>
    <s v="ND"/>
    <s v="ND"/>
  </r>
  <r>
    <n v="24252"/>
    <s v="Placer County"/>
    <s v="2021 Orchard Creek"/>
    <s v="2021 Orchard Creek"/>
    <x v="0"/>
    <d v="2021-04-19T00:00:00"/>
    <d v="2021-07-04T00:00:00"/>
    <s v="Additions"/>
    <m/>
    <s v="2021 Orchard Creek p1"/>
    <x v="1"/>
    <s v="Himalayan blackberry"/>
    <n v="2500"/>
    <s v="pre"/>
    <d v="2021-04-16T00:00:00"/>
    <d v="2021-04-28T00:00:00"/>
    <d v="2021-05-15T00:00:00"/>
    <s v="ND"/>
    <s v="ND"/>
    <s v="ND"/>
  </r>
  <r>
    <n v="24252"/>
    <s v="Placer County"/>
    <s v="2021 Orchard Creek"/>
    <s v="2021 Orchard Creek"/>
    <x v="0"/>
    <d v="2021-04-19T00:00:00"/>
    <d v="2021-07-04T00:00:00"/>
    <s v="Additions"/>
    <m/>
    <s v="2021 Orchard Creek p2"/>
    <x v="1"/>
    <s v="Himalayan blackberry"/>
    <n v="2500"/>
    <d v="2021-05-04T00:00:00"/>
    <d v="2021-05-13T00:00:00"/>
    <d v="2021-05-25T00:00:00"/>
    <s v="~6/3/2021"/>
    <d v="2021-06-19T00:00:00"/>
    <s v="ND"/>
    <s v="ND"/>
  </r>
  <r>
    <n v="24233"/>
    <s v="CNLM"/>
    <s v="2021 Panoche Creek Preserve 1W"/>
    <s v="2021 Panoche Creek Marsh East 1"/>
    <x v="5"/>
    <d v="2021-04-01T00:00:00"/>
    <d v="2021-07-14T00:00:00"/>
    <s v="Simple"/>
    <m/>
    <s v="2021 Panoche Creek Marsh East 1 p1"/>
    <x v="3"/>
    <s v="Cattails"/>
    <s v="NEED"/>
    <d v="2021-04-07T00:00:00"/>
    <d v="2021-04-20T00:00:00"/>
    <d v="2021-05-02T00:00:00"/>
    <s v="~5/23/2021"/>
    <s v="~5/25/2021"/>
    <s v="ND"/>
    <d v="2021-04-30T00:00:00"/>
  </r>
  <r>
    <n v="24232"/>
    <s v="CNLM"/>
    <s v="2021 Panoche Creek Preserve 2E"/>
    <s v="2021 Panoche Creek Marsh East 2"/>
    <x v="0"/>
    <d v="2021-04-01T00:00:00"/>
    <d v="2021-07-14T00:00:00"/>
    <s v="Simple"/>
    <m/>
    <s v="2021 Panoche Creek Marsh East 2 p1"/>
    <x v="1"/>
    <s v="Cattails"/>
    <s v="NEED"/>
    <d v="2021-04-07T00:00:00"/>
    <d v="2021-04-18T00:00:00"/>
    <d v="2021-04-30T00:00:00"/>
    <d v="2021-05-18T00:00:00"/>
    <d v="2021-05-23T00:00:00"/>
    <s v="ND"/>
    <s v="ND"/>
  </r>
  <r>
    <n v="21537"/>
    <s v="Central Sacramento Valley"/>
    <s v="2021 Plumas Arboga"/>
    <s v="2021 Plumas Arboga"/>
    <x v="0"/>
    <d v="2021-05-14T00:00:00"/>
    <d v="2021-06-04T00:00:00"/>
    <s v="Unknown"/>
    <m/>
    <s v="2021 Plumas Arboga p1"/>
    <x v="4"/>
    <s v="Cattails with Himalayan blackberry"/>
    <s v="NEED"/>
    <s v="pre"/>
    <d v="2021-05-15T00:00:00"/>
    <d v="2021-05-27T00:00:00"/>
    <s v="post"/>
    <s v="post"/>
    <s v="ND"/>
    <s v="ND"/>
  </r>
  <r>
    <n v="24119"/>
    <s v="Rancho Jamul"/>
    <s v="2021 Rancho Jamul"/>
    <s v="2021 Rancho Jamul"/>
    <x v="0"/>
    <d v="2021-03-19T00:00:00"/>
    <d v="2021-06-05T00:00:00"/>
    <s v="Asynchronous"/>
    <m/>
    <s v="2021 Rancho Jamul p1"/>
    <x v="1"/>
    <s v="Cattails, bulrush or tule"/>
    <s v="NEED"/>
    <s v="pre"/>
    <s v="ND"/>
    <s v="ND"/>
    <s v="ND"/>
    <s v="post"/>
    <s v="ND"/>
    <s v="ND"/>
  </r>
  <r>
    <n v="24231"/>
    <s v="Placer County"/>
    <s v="2021 Rodeo Grounds 1"/>
    <s v="2021 Rodeo Grounds"/>
    <x v="0"/>
    <d v="2021-04-19T00:00:00"/>
    <d v="2021-06-13T00:00:00"/>
    <s v="Simple"/>
    <m/>
    <s v="2021 Rodeo Grounds p1"/>
    <x v="1"/>
    <s v="Himalayan blackberry"/>
    <n v="40"/>
    <s v="pre"/>
    <d v="2021-04-20T00:00:00"/>
    <d v="2021-05-02T00:00:00"/>
    <d v="2021-05-11T00:00:00"/>
    <d v="2021-05-28T00:00:00"/>
    <s v="ND"/>
    <s v="ND"/>
  </r>
  <r>
    <n v="24549"/>
    <s v="Solano County"/>
    <s v="2021 Rush Ranch"/>
    <s v="2021 Rush Ranch"/>
    <x v="0"/>
    <d v="2021-02-02T00:00:00"/>
    <d v="2021-05-13T00:00:00"/>
    <s v="No Colony"/>
    <m/>
    <s v="2021 Rush Ranch p1"/>
    <x v="2"/>
    <s v="No Colony"/>
    <s v="No Colony"/>
    <s v="ND"/>
    <s v="ND"/>
    <s v="ND"/>
    <s v="ND"/>
    <s v="ND"/>
    <s v="ND"/>
    <s v="ND"/>
  </r>
  <r>
    <n v="25171"/>
    <s v="San Jacinto Wildlife Area"/>
    <s v="2021 SJWA"/>
    <s v="2021 San Jacinto Wildlife Area - Bridge Street Pond"/>
    <x v="0"/>
    <d v="2021-06-02T00:00:00"/>
    <d v="2021-06-30T00:00:00"/>
    <s v="Unknown"/>
    <m/>
    <s v="2021 San Jacinto Wildlife Area - Bridge Street Pond p1"/>
    <x v="0"/>
    <s v="Bulrush, cattails"/>
    <n v="500"/>
    <s v="pre"/>
    <d v="2021-06-03T00:00:00"/>
    <d v="2021-06-15T00:00:00"/>
    <s v="ND"/>
    <s v="ND"/>
    <d v="2021-06-23T00:00:00"/>
    <s v="ND"/>
  </r>
  <r>
    <n v="11100"/>
    <s v="Sedgwick"/>
    <s v="2021 Sedgwick"/>
    <s v="2021 Sedgwick Reserve"/>
    <x v="0"/>
    <d v="2021-03-06T00:00:00"/>
    <d v="2021-05-06T00:00:00"/>
    <s v="Unknown"/>
    <m/>
    <s v="2021 Sedgwick Reserve p1"/>
    <x v="4"/>
    <s v="Bulrush, cattails"/>
    <n v="250"/>
    <d v="2021-04-05T00:00:00"/>
    <d v="2021-04-16T00:00:00"/>
    <d v="2021-04-28T00:00:00"/>
    <s v="post"/>
    <s v="post"/>
    <s v="ND"/>
    <s v="ND"/>
  </r>
  <r>
    <n v="24107"/>
    <s v="CNLM"/>
    <s v="2021 Willey Wetlands 1"/>
    <s v="2021 Willey Wetlands 1"/>
    <x v="6"/>
    <d v="2021-06-10T00:00:00"/>
    <d v="2021-08-17T00:00:00"/>
    <s v="Simple"/>
    <m/>
    <s v="2021 Willey Wetlands 1 p1"/>
    <x v="1"/>
    <s v="Bulrush, cattails"/>
    <s v="A few hundred"/>
    <s v="pre"/>
    <d v="2021-06-08T00:00:00"/>
    <d v="2021-06-20T00:00:00"/>
    <s v="~7/2/2021"/>
    <d v="2021-07-12T00:00:00"/>
    <s v="ND"/>
    <s v="ND"/>
  </r>
  <r>
    <n v="24261"/>
    <s v="CNLM"/>
    <s v="2021 Willey Wetlands 2"/>
    <s v="2021 Willey Wetlands 2"/>
    <x v="0"/>
    <d v="2021-06-10T00:00:00"/>
    <d v="2021-08-17T00:00:00"/>
    <s v="Simple"/>
    <m/>
    <s v="2021 Willey Wetlands 2 p1"/>
    <x v="1"/>
    <s v="Bulrush, cattails"/>
    <s v="A few hundred"/>
    <s v="pre"/>
    <d v="2021-05-31T00:00:00"/>
    <d v="2021-06-12T00:00:00"/>
    <d v="2021-06-28T00:00:00"/>
    <d v="2021-07-10T00:00:00"/>
    <s v="ND"/>
    <s v="ND"/>
  </r>
  <r>
    <n v="24263"/>
    <s v="CNLM"/>
    <s v="2021 Willey Wetlands 3"/>
    <s v="2021 Willey Wetlands 3"/>
    <x v="0"/>
    <d v="2021-06-10T00:00:00"/>
    <d v="2021-08-15T00:00:00"/>
    <s v="Simple"/>
    <m/>
    <s v="2021 Willey Wetlands 3 p1"/>
    <x v="1"/>
    <s v="Bulrush, cattails"/>
    <s v="A few hundred"/>
    <s v="pre"/>
    <s v="pre"/>
    <s v="pre"/>
    <d v="2021-06-24T00:00:00"/>
    <d v="2021-07-10T00:00:00"/>
    <s v="ND"/>
    <s v="ND"/>
  </r>
  <r>
    <n v="24790"/>
    <s v="Wind Wolves Preserve"/>
    <s v="2021 Wind Wolves Preserve"/>
    <s v="2021 Wind Wolves Preserve"/>
    <x v="0"/>
    <d v="2021-04-14T00:00:00"/>
    <d v="2021-07-20T00:00:00"/>
    <s v="Simple"/>
    <m/>
    <s v="2021 Wind Wolves Preserve p1"/>
    <x v="1"/>
    <s v="NEED"/>
    <s v="NEED"/>
    <d v="2021-04-23T00:00:00"/>
    <d v="2021-05-02T00:00:00"/>
    <d v="2021-05-14T00:00:00"/>
    <d v="2021-05-28T00:00:00"/>
    <d v="2021-06-24T00:00:00"/>
    <s v="ND"/>
    <s v="ND"/>
  </r>
  <r>
    <n v="34485"/>
    <s v="Baja"/>
    <s v="2022 Baja 1"/>
    <s v="2022 Baja CiÃ©nega Redonda North"/>
    <x v="0"/>
    <d v="2022-03-23T00:00:00"/>
    <d v="2022-07-12T00:00:00"/>
    <s v="Simple"/>
    <m/>
    <s v="2022 Baja CiÃ©nega Redonda North p1"/>
    <x v="1"/>
    <s v="Cattails"/>
    <s v="NEED"/>
    <s v="pre"/>
    <d v="2022-04-02T00:00:00"/>
    <d v="2022-04-14T00:00:00"/>
    <d v="2022-04-30T00:00:00"/>
    <d v="2022-05-23T00:00:00"/>
    <s v="ND"/>
    <s v="ND"/>
  </r>
  <r>
    <n v="53136"/>
    <s v="Baja"/>
    <s v="2022 Baja 2"/>
    <s v="2022 Baja CiÃ©nega Redonda North 2"/>
    <x v="7"/>
    <d v="2022-03-23T00:00:00"/>
    <d v="2022-07-17T00:00:00"/>
    <s v="Simple"/>
    <m/>
    <s v="2022 Baja CiÃ©nega Redonda North 2 p1"/>
    <x v="1"/>
    <s v="Cattails"/>
    <s v="---"/>
    <s v="pre"/>
    <d v="2022-04-03T00:00:00"/>
    <d v="2022-04-15T00:00:00"/>
    <d v="2022-04-30T00:00:00"/>
    <d v="2022-05-22T00:00:00"/>
    <s v="ND"/>
    <s v="ND"/>
  </r>
  <r>
    <n v="34044"/>
    <s v="Colusa NWR"/>
    <s v="2022 Colusa NWR T27.1"/>
    <s v="2022 Colusa NWR T27.1"/>
    <x v="0"/>
    <d v="2022-04-18T00:00:00"/>
    <d v="2022-08-04T00:00:00"/>
    <s v="No TRBL"/>
    <m/>
    <s v="2022 Colusa NWR T27.1 p1"/>
    <x v="5"/>
    <s v="Bulrush, cattails"/>
    <n v="4000"/>
    <s v="ND"/>
    <s v="ND"/>
    <s v="ND"/>
    <s v="ND"/>
    <s v="ND"/>
    <s v="ND"/>
    <s v="ND"/>
  </r>
  <r>
    <n v="34079"/>
    <s v="Colusa NWR"/>
    <s v="2022 Colusa NWR T27.2"/>
    <s v="2022 Colusa NWR T27.2"/>
    <x v="0"/>
    <d v="2022-04-18T00:00:00"/>
    <d v="2022-08-04T00:00:00"/>
    <s v="Simple"/>
    <m/>
    <s v="2022 Colusa NWR T27.2 p1"/>
    <x v="1"/>
    <s v="Bulrush, cattails"/>
    <n v="4000"/>
    <s v="ND"/>
    <d v="2022-05-19T00:00:00"/>
    <d v="2022-05-31T00:00:00"/>
    <d v="2022-06-16T00:00:00"/>
    <d v="2022-06-21T00:00:00"/>
    <s v="ND"/>
    <s v="ND"/>
  </r>
  <r>
    <n v="34111"/>
    <s v="Central Sacramento Valley"/>
    <s v="2022 Conaway New Easement Pond West"/>
    <s v="2022 Conaway New Easement Pond West"/>
    <x v="0"/>
    <d v="2022-05-11T00:00:00"/>
    <d v="2022-06-13T00:00:00"/>
    <s v="No TRBL"/>
    <m/>
    <s v="2022 Conaway New Easement Pond West p1"/>
    <x v="5"/>
    <s v="Cattails with bulrush"/>
    <n v="0"/>
    <s v="ND"/>
    <s v="ND"/>
    <s v="ND"/>
    <s v="ND"/>
    <s v="ND"/>
    <s v="ND"/>
    <s v="ND"/>
  </r>
  <r>
    <n v="34112"/>
    <s v="Central Sacramento Valley"/>
    <s v="2022 Conaway North"/>
    <s v="2022 Conaway North"/>
    <x v="0"/>
    <d v="2022-05-04T00:00:00"/>
    <d v="2022-06-28T00:00:00"/>
    <s v="Simple"/>
    <m/>
    <s v="2022 Conaway North p1"/>
    <x v="1"/>
    <s v="Cattails, Himalayan blackberry, willow"/>
    <n v="15000"/>
    <s v="pre"/>
    <d v="2022-05-09T00:00:00"/>
    <d v="2022-05-21T00:00:00"/>
    <d v="2022-05-31T00:00:00"/>
    <d v="2022-06-20T00:00:00"/>
    <s v="ND"/>
    <s v="ND"/>
  </r>
  <r>
    <n v="34113"/>
    <s v="Central Sacramento Valley"/>
    <s v="2022 Conaway North A"/>
    <s v="2022 Conaway North A"/>
    <x v="8"/>
    <d v="2022-05-04T00:00:00"/>
    <d v="2022-06-28T00:00:00"/>
    <s v="Simple"/>
    <m/>
    <s v="2022 Conaway North A p1"/>
    <x v="1"/>
    <s v="Cattails, Himalayan blackberry, willow"/>
    <n v="15000"/>
    <s v="pre"/>
    <d v="2022-05-10T00:00:00"/>
    <d v="2022-05-22T00:00:00"/>
    <d v="2022-06-01T00:00:00"/>
    <d v="2022-06-18T00:00:00"/>
    <s v="ND"/>
    <s v="ND"/>
  </r>
  <r>
    <n v="34115"/>
    <s v="Central Sacramento Valley"/>
    <s v="2022 Conaway East"/>
    <s v="2022 Conaway Ranch Reservoir"/>
    <x v="0"/>
    <d v="2022-05-09T00:00:00"/>
    <d v="2022-06-28T00:00:00"/>
    <s v="Simple"/>
    <m/>
    <s v="2022 Conaway Ranch Reservoir p1"/>
    <x v="3"/>
    <s v="Himalayan blackberry"/>
    <s v="NEED"/>
    <s v="pre"/>
    <d v="2022-05-11T00:00:00"/>
    <d v="2022-05-23T00:00:00"/>
    <s v="~6/7/2022"/>
    <s v="post"/>
    <s v="ND"/>
    <d v="2022-05-20T00:00:00"/>
  </r>
  <r>
    <n v="34078"/>
    <s v="Solano County"/>
    <s v="2022 Creed Road"/>
    <s v="2022 Denverton Creek"/>
    <x v="0"/>
    <d v="2022-02-13T00:00:00"/>
    <d v="2022-08-20T00:00:00"/>
    <s v="Simple"/>
    <m/>
    <s v="2022 Denverton Creek p1"/>
    <x v="1"/>
    <s v="Himalayan blackberry"/>
    <n v="1000"/>
    <d v="2022-03-27T00:00:00"/>
    <d v="2022-04-03T00:00:00"/>
    <d v="2022-04-15T00:00:00"/>
    <d v="2022-04-28T00:00:00"/>
    <d v="2022-05-25T00:00:00"/>
    <s v="ND"/>
    <s v="ND"/>
  </r>
  <r>
    <n v="34118"/>
    <s v="Central Sacramento Valley"/>
    <s v="2022 Foley Ranch A"/>
    <s v="2022 Foley Ranch A"/>
    <x v="0"/>
    <d v="2022-04-24T00:00:00"/>
    <d v="2022-06-06T00:00:00"/>
    <s v="No Colony"/>
    <m/>
    <s v="2022 Foley Ranch A p1"/>
    <x v="2"/>
    <s v="NEED"/>
    <s v="NEED"/>
    <s v="ND"/>
    <s v="ND"/>
    <s v="ND"/>
    <s v="ND"/>
    <s v="ND"/>
    <s v="ND"/>
    <s v="ND"/>
  </r>
  <r>
    <n v="34119"/>
    <s v="Central Sacramento Valley"/>
    <s v="2022 Foley Ranch B"/>
    <s v="2022 Foley Ranch B"/>
    <x v="9"/>
    <d v="2022-04-24T00:00:00"/>
    <d v="2022-06-06T00:00:00"/>
    <s v="No Colony"/>
    <m/>
    <s v="2022 Foley Ranch B p1"/>
    <x v="2"/>
    <s v="NEED"/>
    <s v="NEED"/>
    <s v="ND"/>
    <s v="ND"/>
    <s v="ND"/>
    <s v="ND"/>
    <s v="ND"/>
    <s v="ND"/>
    <s v="ND"/>
  </r>
  <r>
    <n v="33966"/>
    <s v="Solano County"/>
    <s v="2022 Hay Landfill"/>
    <s v="2022 Hay Landfill"/>
    <x v="0"/>
    <d v="2022-02-13T00:00:00"/>
    <d v="2022-09-09T00:00:00"/>
    <s v="Sequential"/>
    <m/>
    <s v="2022 Hay Landfill p1"/>
    <x v="3"/>
    <s v="Bulrush, cattails"/>
    <n v="4000"/>
    <d v="2022-02-17T00:00:00"/>
    <d v="2022-03-31T00:00:00"/>
    <d v="2022-04-12T00:00:00"/>
    <d v="2022-04-27T00:00:00"/>
    <d v="2022-05-20T00:00:00"/>
    <s v="ND"/>
    <s v="ND"/>
  </r>
  <r>
    <n v="33966"/>
    <s v="Solano County"/>
    <s v="2022 Hay Landfill"/>
    <s v="2022 Hay Landfill"/>
    <x v="0"/>
    <d v="2022-02-13T00:00:00"/>
    <d v="2022-09-09T00:00:00"/>
    <s v="Sequential"/>
    <m/>
    <s v="2022 Hay Landfill p2"/>
    <x v="1"/>
    <s v="Bulrush, cattails"/>
    <n v="4000"/>
    <d v="2022-04-20T00:00:00"/>
    <d v="2022-05-07T00:00:00"/>
    <d v="2022-05-19T00:00:00"/>
    <d v="2022-06-01T00:00:00"/>
    <d v="2022-06-27T00:00:00"/>
    <s v="ND"/>
    <s v="ND"/>
  </r>
  <r>
    <n v="34077"/>
    <s v="Monterey"/>
    <s v="2022 Laguna Seca"/>
    <s v="2022 Laguna Seca"/>
    <x v="0"/>
    <d v="2022-03-20T00:00:00"/>
    <d v="2022-07-11T00:00:00"/>
    <s v="Sequential"/>
    <m/>
    <s v="2022 Laguna Seca p1"/>
    <x v="1"/>
    <s v="Bulrush, cattails"/>
    <s v="NEED"/>
    <d v="2022-03-31T00:00:00"/>
    <d v="2022-04-03T00:00:00"/>
    <d v="2022-04-15T00:00:00"/>
    <s v="ND"/>
    <s v="ND"/>
    <s v="ND"/>
    <s v="ND"/>
  </r>
  <r>
    <n v="34077"/>
    <s v="Monterey"/>
    <s v="2022 Laguna Seca"/>
    <s v="2022 Laguna Seca"/>
    <x v="0"/>
    <d v="2022-03-20T00:00:00"/>
    <d v="2022-07-11T00:00:00"/>
    <s v="Sequential"/>
    <m/>
    <s v="2022 Laguna Seca p2"/>
    <x v="4"/>
    <s v="Bulrush, cattails"/>
    <s v="NEED"/>
    <d v="2022-05-03T00:00:00"/>
    <s v="ND"/>
    <s v="ND"/>
    <s v="ND"/>
    <s v="ND"/>
    <s v="ND"/>
    <s v="ND"/>
  </r>
  <r>
    <n v="34117"/>
    <s v="Los Vaqueros"/>
    <s v="2022 Los Vaqueros Reservoir"/>
    <s v="2022 Los Vaqueros Reservoir"/>
    <x v="0"/>
    <d v="2022-04-15T00:00:00"/>
    <d v="2022-06-08T00:00:00"/>
    <s v="Unknown"/>
    <m/>
    <s v="2022 Los Vaqueros Reservoir p1"/>
    <x v="1"/>
    <s v="Himalayan blackberry"/>
    <s v="400-500"/>
    <s v="pre"/>
    <d v="2022-04-07T00:00:00"/>
    <d v="2022-04-19T00:00:00"/>
    <d v="2022-04-28T00:00:00"/>
    <d v="2022-05-28T00:00:00"/>
    <s v="ND"/>
    <s v="ND"/>
  </r>
  <r>
    <n v="34076"/>
    <s v="Los Vaqueros"/>
    <s v="2022 Marsh Creek Reservoir"/>
    <s v="2022 Marsh Creek Reservoir"/>
    <x v="0"/>
    <d v="2022-04-15T00:00:00"/>
    <d v="2022-06-08T00:00:00"/>
    <s v="No TRBL"/>
    <m/>
    <s v="2022 Marsh Creek Reservoir p1"/>
    <x v="5"/>
    <s v="Cattails"/>
    <s v="No Colony"/>
    <s v="ND"/>
    <s v="ND"/>
    <s v="ND"/>
    <s v="ND"/>
    <s v="ND"/>
    <s v="ND"/>
    <s v="ND"/>
  </r>
  <r>
    <n v="34075"/>
    <s v="San Bernardino"/>
    <s v="2022 Newberry Springs - Lake Wainani"/>
    <s v="2022 Newberry Springs - Lake Wainani"/>
    <x v="0"/>
    <d v="2022-05-12T00:00:00"/>
    <d v="2022-05-20T00:00:00"/>
    <s v="Unknown"/>
    <m/>
    <s v="2022 Newberry Springs - Lake Wainani p1"/>
    <x v="1"/>
    <s v="Cattails, willows"/>
    <n v="500"/>
    <s v="pre"/>
    <s v="pre"/>
    <s v="pre"/>
    <s v="ND"/>
    <s v="post"/>
    <s v="ND"/>
    <s v="ND"/>
  </r>
  <r>
    <n v="33851"/>
    <s v="Oregon"/>
    <s v="2022 OR1"/>
    <s v="2022 Oregon State - Dizney Rd"/>
    <x v="0"/>
    <d v="2022-04-18T00:00:00"/>
    <d v="2022-06-09T00:00:00"/>
    <s v="No Colony"/>
    <m/>
    <s v="2022 Oregon State - Dizney Rd p1"/>
    <x v="2"/>
    <s v="Bulrush, cattails, Himalayan blackberry"/>
    <n v="50"/>
    <s v="ND"/>
    <s v="ND"/>
    <s v="ND"/>
    <s v="ND"/>
    <s v="ND"/>
    <s v="ND"/>
    <s v="ND"/>
  </r>
  <r>
    <n v="34073"/>
    <s v="Oregon"/>
    <s v="2022 OR2"/>
    <s v="2022 Oregon State - Prineville Woodward Rd"/>
    <x v="0"/>
    <d v="2022-04-24T00:00:00"/>
    <d v="2022-06-03T00:00:00"/>
    <s v="Simple"/>
    <m/>
    <s v="2022 Oregon State - Prineville Woodward Rd p1"/>
    <x v="1"/>
    <s v="Cattails"/>
    <s v="40-80"/>
    <s v="ND"/>
    <s v="~5/4/2022"/>
    <s v="~5/16/2022"/>
    <s v="~5/25/2022"/>
    <s v="post"/>
    <s v="ND"/>
    <s v="ND"/>
  </r>
  <r>
    <n v="34071"/>
    <s v="CNLM"/>
    <s v="2022 Paicines Ranch - Teal Pond"/>
    <s v="2022 Paicines Ranch - Teal Pond"/>
    <x v="0"/>
    <d v="2022-04-10T00:00:00"/>
    <d v="2022-08-06T00:00:00"/>
    <s v="Simple"/>
    <m/>
    <s v="2022 Paicines Ranch - Teal Pond p1"/>
    <x v="1"/>
    <s v="Bulrush, cattails"/>
    <n v="4000"/>
    <s v="pre"/>
    <d v="2022-04-10T00:00:00"/>
    <d v="2022-04-22T00:00:00"/>
    <d v="2022-05-08T00:00:00"/>
    <d v="2022-05-28T00:00:00"/>
    <s v="ND"/>
    <s v="ND"/>
  </r>
  <r>
    <n v="34072"/>
    <s v="CNLM"/>
    <s v="2022 Paicines Ranch - Teal Pond B"/>
    <s v="2022 Paicines Ranch - Teal Pond B"/>
    <x v="10"/>
    <d v="2022-04-11T00:00:00"/>
    <d v="2022-08-03T00:00:00"/>
    <s v="Simple"/>
    <m/>
    <s v="2022 Paicines Ranch - Teal Pond B p1"/>
    <x v="1"/>
    <s v="Bulrush, cattails"/>
    <n v="4000"/>
    <s v="pre"/>
    <d v="2022-04-10T00:00:00"/>
    <d v="2022-04-22T00:00:00"/>
    <d v="2022-05-09T00:00:00"/>
    <d v="2022-06-04T00:00:00"/>
    <s v="ND"/>
    <s v="ND"/>
  </r>
  <r>
    <n v="52598"/>
    <s v="CNLM"/>
    <s v="2022 Panoche Creek Preserve Loc4"/>
    <s v="2022 Panoche Creek Marsh East 1"/>
    <x v="0"/>
    <d v="2022-03-22T00:00:00"/>
    <d v="2022-04-14T00:00:00"/>
    <s v="No Colony"/>
    <m/>
    <s v="2022 Panoche Creek Marsh East 1 p1"/>
    <x v="2"/>
    <s v="NEED"/>
    <s v="NEED"/>
    <s v="ND"/>
    <s v="ND"/>
    <s v="ND"/>
    <s v="ND"/>
    <s v="ND"/>
    <s v="ND"/>
    <s v="ND"/>
  </r>
  <r>
    <n v="34130"/>
    <s v="CNLM"/>
    <s v="2022 Panoche Creek Preserve Loc5"/>
    <s v="2022 Panoche Creek Marsh East 2"/>
    <x v="0"/>
    <d v="2022-04-14T00:00:00"/>
    <d v="2022-06-23T00:00:00"/>
    <s v="Simple"/>
    <m/>
    <s v="2022 Panoche Creek Marsh East 2 p1"/>
    <x v="1"/>
    <s v="NEED"/>
    <s v="NEED"/>
    <s v="pre"/>
    <d v="2022-04-08T00:00:00"/>
    <d v="2022-04-20T00:00:00"/>
    <d v="2022-05-01T00:00:00"/>
    <d v="2022-05-16T00:00:00"/>
    <s v="ND"/>
    <s v="ND"/>
  </r>
  <r>
    <n v="52597"/>
    <s v="CNLM"/>
    <s v="2022 Panoche Creek Preserve Loc3"/>
    <s v="2022 Panoche Creek Preserve Location 3"/>
    <x v="0"/>
    <d v="2022-03-18T00:00:00"/>
    <d v="2022-06-23T00:00:00"/>
    <s v="Simple"/>
    <m/>
    <s v="2022 Panoche Creek Preserve Location 3 p1"/>
    <x v="1"/>
    <s v="NEED"/>
    <s v="NEED"/>
    <d v="2022-03-22T00:00:00"/>
    <d v="2022-04-08T00:00:00"/>
    <d v="2022-04-20T00:00:00"/>
    <d v="2022-05-03T00:00:00"/>
    <d v="2022-05-21T00:00:00"/>
    <s v="ND"/>
    <s v="ND"/>
  </r>
  <r>
    <n v="34012"/>
    <s v="Central Sacramento Valley"/>
    <s v="2022 Plumas Arboga East"/>
    <s v="2022 Plumas Arboga 6 East"/>
    <x v="0"/>
    <d v="2022-05-04T00:00:00"/>
    <d v="2022-06-28T00:00:00"/>
    <s v="Complex"/>
    <s v="Asynchronous, Sequential"/>
    <s v="2022 Plumas Arboga 6 East p1"/>
    <x v="1"/>
    <s v="Himalayan blackberry"/>
    <n v="9000"/>
    <s v="pre"/>
    <s v="pre"/>
    <s v="pre"/>
    <d v="2022-05-12T00:00:00"/>
    <d v="2022-05-31T00:00:00"/>
    <s v="ND"/>
    <s v="ND"/>
  </r>
  <r>
    <n v="34012"/>
    <s v="Central Sacramento Valley"/>
    <s v="2022 Plumas Arboga East"/>
    <s v="2022 Plumas Arboga 6 East"/>
    <x v="0"/>
    <d v="2022-05-04T00:00:00"/>
    <d v="2022-06-28T00:00:00"/>
    <s v="Complex"/>
    <s v="Asynchronous, Sequential"/>
    <s v="2022 Plumas Arboga 6 East p2"/>
    <x v="1"/>
    <s v="Himalayan blackberry"/>
    <n v="9000"/>
    <s v="ND"/>
    <d v="2022-05-10T00:00:00"/>
    <d v="2022-05-22T00:00:00"/>
    <d v="2022-06-07T00:00:00"/>
    <s v="post"/>
    <s v="ND"/>
    <s v="ND"/>
  </r>
  <r>
    <n v="34013"/>
    <s v="Central Sacramento Valley"/>
    <s v="2022 Plumas Arboga West"/>
    <s v="2022 Plumas Arboga 6 West"/>
    <x v="11"/>
    <d v="2022-05-11T00:00:00"/>
    <d v="2022-06-28T00:00:00"/>
    <s v="Simple"/>
    <m/>
    <s v="2022 Plumas Arboga 6 West p1"/>
    <x v="1"/>
    <s v="Himalayan blackberry"/>
    <n v="9000"/>
    <s v="pre"/>
    <d v="2022-05-12T00:00:00"/>
    <d v="2022-05-24T00:00:00"/>
    <d v="2022-06-01T00:00:00"/>
    <s v="post"/>
    <s v="ND"/>
    <s v="ND"/>
  </r>
  <r>
    <n v="34131"/>
    <s v="Dairies"/>
    <s v="2022 Private Site 1 - not real lat lon"/>
    <s v="2022 Private Site 1 - approximate lat lon"/>
    <x v="0"/>
    <d v="2022-04-19T00:00:00"/>
    <d v="2022-06-03T00:00:00"/>
    <s v="Asynchronous"/>
    <m/>
    <s v="2022 Private Site 1 - approximate lat lon p1"/>
    <x v="1"/>
    <s v="Triticale"/>
    <n v="35000"/>
    <s v="pre"/>
    <d v="2022-04-18T00:00:00"/>
    <d v="2022-04-30T00:00:00"/>
    <d v="2022-05-08T00:00:00"/>
    <d v="2022-05-28T00:00:00"/>
    <s v="ND"/>
    <s v="ND"/>
  </r>
  <r>
    <n v="34133"/>
    <s v="Dairies"/>
    <s v="2022 Private Site 2 - not real lat lon"/>
    <s v="2022 Private Site 2 - approximate lat lon"/>
    <x v="0"/>
    <d v="2022-04-19T00:00:00"/>
    <d v="2022-05-02T00:00:00"/>
    <s v="Asynchronous"/>
    <m/>
    <s v="2022 Private Site 2 - approximate lat lon p1"/>
    <x v="1"/>
    <s v="Triticale"/>
    <s v="NEED"/>
    <s v="pre"/>
    <s v="pre"/>
    <s v="pre"/>
    <d v="2022-04-25T00:00:00"/>
    <s v="post"/>
    <s v="ND"/>
    <s v="ND"/>
  </r>
  <r>
    <n v="34132"/>
    <s v="Dairies"/>
    <s v="2022 Private Site 3 - not real lat lon"/>
    <s v="2022 Private Site 3 - approximate lat lon"/>
    <x v="0"/>
    <d v="2022-04-19T00:00:00"/>
    <d v="2022-06-03T00:00:00"/>
    <s v="Asynchronous"/>
    <m/>
    <s v="2022 Private Site 3 - approximate lat lon p1"/>
    <x v="1"/>
    <s v="Milk thistle"/>
    <s v="NEED"/>
    <s v="pre"/>
    <s v="pre"/>
    <s v="pre"/>
    <d v="2022-05-09T00:00:00"/>
    <d v="2022-05-26T00:00:00"/>
    <s v="ND"/>
    <s v="ND"/>
  </r>
  <r>
    <n v="34045"/>
    <s v="Rancho Jamul"/>
    <s v="2022 Rancho Jamul"/>
    <s v="2022 Rancho Jamul"/>
    <x v="0"/>
    <d v="2022-03-02T00:00:00"/>
    <d v="2022-07-02T00:00:00"/>
    <s v="Asynchronous"/>
    <m/>
    <s v="2022 Rancho Jamul p1"/>
    <x v="1"/>
    <s v="NEED"/>
    <s v="NEED"/>
    <d v="2022-03-20T00:00:00"/>
    <d v="2022-04-02T00:00:00"/>
    <d v="2022-04-14T00:00:00"/>
    <d v="2022-04-27T00:00:00"/>
    <s v="post"/>
    <s v="ND"/>
    <s v="ND"/>
  </r>
  <r>
    <n v="34046"/>
    <s v="San Jacinto Wildlife Area"/>
    <s v="2022 SJWA"/>
    <s v="2022 San Jacinto Wildlife Area - Bridge Street Pond"/>
    <x v="0"/>
    <d v="2022-05-10T00:00:00"/>
    <d v="2022-06-27T00:00:00"/>
    <s v="Asynchronous"/>
    <m/>
    <s v="2022 San Jacinto Wildlife Area - Bridge Street Pond p1"/>
    <x v="1"/>
    <s v="Cattails"/>
    <n v="800"/>
    <s v="pre"/>
    <d v="2022-05-14T00:00:00"/>
    <d v="2022-05-26T00:00:00"/>
    <s v="~6/11/2022"/>
    <s v="post"/>
    <s v="ND"/>
    <s v="ND"/>
  </r>
  <r>
    <n v="34090"/>
    <s v="Monterey"/>
    <s v="2022 Ohlone - Santa Lucia Preserve"/>
    <s v="2022 Santa Lucia Preserve - Ohlone Pond"/>
    <x v="0"/>
    <d v="2022-03-21T00:00:00"/>
    <d v="2022-08-16T00:00:00"/>
    <s v="Asynchronous"/>
    <m/>
    <s v="2022 Santa Lucia Preserve - Ohlone Pond p1"/>
    <x v="1"/>
    <s v="NEED"/>
    <n v="400"/>
    <d v="2022-04-13T00:00:00"/>
    <d v="2022-04-20T00:00:00"/>
    <d v="2022-05-02T00:00:00"/>
    <d v="2022-05-20T00:00:00"/>
    <d v="2022-06-28T00:00:00"/>
    <s v="ND"/>
    <s v="ND"/>
  </r>
  <r>
    <n v="33985"/>
    <s v="Sedgwick"/>
    <s v="2022 Sedgwick"/>
    <s v="2022 Sedgwick Reserve"/>
    <x v="0"/>
    <d v="2022-03-20T00:00:00"/>
    <d v="2022-07-12T00:00:00"/>
    <s v="Sequential"/>
    <m/>
    <s v="2022 Sedgwick Reserve p1"/>
    <x v="1"/>
    <s v="Bulrush, cattails"/>
    <n v="200"/>
    <s v="pre"/>
    <d v="2022-03-29T00:00:00"/>
    <d v="2022-04-10T00:00:00"/>
    <d v="2022-04-26T00:00:00"/>
    <d v="2022-05-13T00:00:00"/>
    <s v="ND"/>
    <s v="ND"/>
  </r>
  <r>
    <n v="33985"/>
    <s v="Sedgwick"/>
    <s v="2022 Sedgwick"/>
    <s v="2022 Sedgwick Reserve"/>
    <x v="0"/>
    <d v="2022-03-20T00:00:00"/>
    <d v="2022-07-12T00:00:00"/>
    <s v="Sequential"/>
    <m/>
    <s v="2022 Sedgwick Reserve p2"/>
    <x v="1"/>
    <s v="Bulrush, cattails"/>
    <n v="200"/>
    <d v="2022-05-01T00:00:00"/>
    <d v="2022-05-09T00:00:00"/>
    <d v="2022-05-21T00:00:00"/>
    <d v="2022-06-03T00:00:00"/>
    <d v="2022-06-17T00:00:00"/>
    <s v="ND"/>
    <s v="ND"/>
  </r>
  <r>
    <n v="33984"/>
    <s v="Washington"/>
    <s v="2022 WA Harder Spring"/>
    <s v="2022 Washington State - Harder Spring"/>
    <x v="0"/>
    <d v="2022-03-18T00:00:00"/>
    <d v="2022-07-13T00:00:00"/>
    <s v="Additions"/>
    <m/>
    <s v="2022 Washington State - Harder Spring p1"/>
    <x v="1"/>
    <s v="Bulrush, cattails, common reed"/>
    <n v="200"/>
    <d v="2022-05-01T00:00:00"/>
    <s v="~5/5/2022"/>
    <s v="~5/17/2022"/>
    <d v="2022-05-30T00:00:00"/>
    <s v="ND"/>
    <s v="ND"/>
    <s v="ND"/>
  </r>
  <r>
    <n v="33984"/>
    <s v="Washington"/>
    <s v="2022 WA Harder Spring"/>
    <s v="2022 Washington State - Harder Spring"/>
    <x v="0"/>
    <d v="2022-03-18T00:00:00"/>
    <d v="2022-07-13T00:00:00"/>
    <s v="Additions"/>
    <m/>
    <s v="2022 Washington State - Harder Spring p2"/>
    <x v="1"/>
    <s v="Bulrush, cattails, common reed"/>
    <n v="200"/>
    <d v="2022-05-18T00:00:00"/>
    <d v="2022-05-26T00:00:00"/>
    <d v="2022-06-07T00:00:00"/>
    <s v="ND"/>
    <d v="2022-07-10T00:00:00"/>
    <s v="ND"/>
    <s v="ND"/>
  </r>
  <r>
    <n v="33845"/>
    <s v="Washington"/>
    <s v="2022 WA1"/>
    <s v="2022 Washington State - McCain Wetands"/>
    <x v="0"/>
    <d v="2022-05-27T00:00:00"/>
    <d v="2022-08-01T00:00:00"/>
    <s v="Unknown"/>
    <m/>
    <s v="2022 Washington State - McCain Wetands p1"/>
    <x v="1"/>
    <s v="Bulrush, cattails, common reed"/>
    <s v="150-200"/>
    <s v="pre"/>
    <s v="pre"/>
    <s v="pre"/>
    <s v="pre"/>
    <d v="2022-06-02T00:00:00"/>
    <s v="ND"/>
    <s v="ND"/>
  </r>
  <r>
    <n v="34088"/>
    <s v="Wind Wolves Preserve"/>
    <s v="2022 Wind Wolves Preserve Pleitito Creek"/>
    <s v="2022 Wind Wolves Preserve - Pleitito Creek"/>
    <x v="0"/>
    <d v="2022-03-11T00:00:00"/>
    <d v="2022-05-26T00:00:00"/>
    <s v="No Colony"/>
    <m/>
    <s v="2022 Wind Wolves Preserve - Pleitito Creek p1"/>
    <x v="2"/>
    <s v="Stinging nettle"/>
    <s v="No Colony"/>
    <s v="ND"/>
    <s v="ND"/>
    <s v="ND"/>
    <s v="ND"/>
    <s v="ND"/>
    <s v="ND"/>
    <s v="ND"/>
  </r>
  <r>
    <n v="34087"/>
    <s v="Wind Wolves Preserve"/>
    <s v="2022 Wind Wolves Preserve Santiago Wetlands"/>
    <s v="2022 Wind Wolves Preserve - Santiago Wetlands"/>
    <x v="0"/>
    <d v="2022-02-23T00:00:00"/>
    <d v="2022-08-17T00:00:00"/>
    <s v="Asynchronous"/>
    <m/>
    <s v="2022 Wind Wolves Preserve - Santiago Wetlands p1"/>
    <x v="1"/>
    <s v="Stinging nettle"/>
    <s v="50-100"/>
    <d v="2022-03-07T00:00:00"/>
    <s v="~4/8/2022"/>
    <s v="~4/20/2022"/>
    <d v="2022-05-02T00:00:00"/>
    <d v="2022-06-03T00:00:00"/>
    <s v="ND"/>
    <s v="ND"/>
  </r>
  <r>
    <n v="48459"/>
    <s v="Central Sacramento Valley"/>
    <s v="2023 Laguna Fry Confluence - 45 Sump"/>
    <s v="2023 45 Sump"/>
    <x v="0"/>
    <d v="2023-04-25T00:00:00"/>
    <d v="2023-06-18T00:00:00"/>
    <s v="Simple"/>
    <m/>
    <s v="2023 45 Sump p1"/>
    <x v="1"/>
    <s v="Himalayan blackberry"/>
    <s v="NEED"/>
    <s v="pre"/>
    <d v="2023-04-29T00:00:00"/>
    <d v="2023-05-11T00:00:00"/>
    <d v="2023-05-21T00:00:00"/>
    <d v="2023-05-30T00:00:00"/>
    <s v="ND"/>
    <s v="ND"/>
  </r>
  <r>
    <n v="48395"/>
    <s v="Baja"/>
    <s v="2023 Baja Rancho Cinega"/>
    <s v="2023 Baja CiÃ©nega Redonda North"/>
    <x v="0"/>
    <d v="2023-04-14T00:00:00"/>
    <d v="2023-08-22T00:00:00"/>
    <s v="Unknown"/>
    <m/>
    <s v="2023 Baja CiÃ©nega Redonda North p1"/>
    <x v="1"/>
    <s v="Cattails"/>
    <s v="100-200"/>
    <s v="pre"/>
    <s v="pre"/>
    <s v="pre"/>
    <d v="2023-05-01T00:00:00"/>
    <d v="2023-07-28T00:00:00"/>
    <s v="ND"/>
    <s v="ND"/>
  </r>
  <r>
    <n v="48455"/>
    <s v="Colusa NWR"/>
    <s v="2023 Colusa NWR T27.1"/>
    <s v="2023 Colusa NWR T27.1"/>
    <x v="0"/>
    <d v="2023-06-01T00:00:00"/>
    <d v="2023-08-01T00:00:00"/>
    <s v="Simple"/>
    <m/>
    <s v="2023 Colusa NWR T27.1 p1"/>
    <x v="3"/>
    <s v="Bulrush, cattails"/>
    <n v="2000"/>
    <d v="2023-06-19T00:00:00"/>
    <d v="2023-07-04T00:00:00"/>
    <d v="2023-07-16T00:00:00"/>
    <d v="2023-07-27T00:00:00"/>
    <s v="post"/>
    <s v="ND"/>
    <d v="2023-07-24T00:00:00"/>
  </r>
  <r>
    <n v="58629"/>
    <s v="Colusa NWR"/>
    <s v="2023 Colusa NWR T27.2"/>
    <s v="2023 Colusa NWR T27.2"/>
    <x v="0"/>
    <d v="2023-06-01T00:00:00"/>
    <d v="2023-08-01T00:00:00"/>
    <s v="Simple"/>
    <m/>
    <s v="2023 Colusa NWR T27.2 p1"/>
    <x v="1"/>
    <s v="Bulrush, cattails"/>
    <n v="20000"/>
    <s v="pre"/>
    <d v="2023-06-08T00:00:00"/>
    <d v="2023-06-20T00:00:00"/>
    <d v="2023-06-29T00:00:00"/>
    <d v="2023-07-24T00:00:00"/>
    <s v="ND"/>
    <s v="ND"/>
  </r>
  <r>
    <n v="48473"/>
    <s v="Central Sacramento Valley"/>
    <s v="2023 Conaway Ranch - HQ"/>
    <s v="2023 Conaway Ranch Headquarters"/>
    <x v="0"/>
    <d v="2023-05-24T00:00:00"/>
    <d v="2023-07-05T00:00:00"/>
    <s v="Simple"/>
    <m/>
    <s v="2023 Conaway Ranch Headquarters p1"/>
    <x v="1"/>
    <s v="Himalayan blackberry"/>
    <n v="5000"/>
    <d v="2023-05-26T00:00:00"/>
    <d v="2023-06-01T00:00:00"/>
    <d v="2023-06-13T00:00:00"/>
    <d v="2023-06-23T00:00:00"/>
    <d v="2023-06-30T00:00:00"/>
    <s v="ND"/>
    <s v="ND"/>
  </r>
  <r>
    <n v="48474"/>
    <s v="Central Sacramento Valley"/>
    <s v="2023 Conaway Ranch NE"/>
    <s v="2023 Conaway Ranch NE"/>
    <x v="0"/>
    <d v="2023-05-26T00:00:00"/>
    <d v="2023-07-11T00:00:00"/>
    <s v="Simple"/>
    <m/>
    <s v="2023 Conaway Ranch NE p1"/>
    <x v="1"/>
    <s v="Himalayan blackberry"/>
    <n v="9000"/>
    <s v="pre"/>
    <d v="2023-05-30T00:00:00"/>
    <d v="2023-06-11T00:00:00"/>
    <d v="2023-06-25T00:00:00"/>
    <d v="2023-07-01T00:00:00"/>
    <s v="6/17/2023P"/>
    <s v="ND"/>
  </r>
  <r>
    <n v="48477"/>
    <s v="Central Sacramento Valley"/>
    <s v="2023 Conaway Ranch North 1"/>
    <s v="2023 Conaway Ranch North 1"/>
    <x v="0"/>
    <d v="2023-06-08T00:00:00"/>
    <d v="2023-07-13T00:00:00"/>
    <s v="Simple"/>
    <m/>
    <s v="2023 Conaway Ranch North 1 p1"/>
    <x v="1"/>
    <s v="Himalayan blackberry, cattails"/>
    <n v="10000"/>
    <s v="pre"/>
    <d v="2023-06-06T00:00:00"/>
    <d v="2023-06-18T00:00:00"/>
    <d v="2023-06-28T00:00:00"/>
    <s v="post"/>
    <s v="ND"/>
    <s v="ND"/>
  </r>
  <r>
    <n v="48476"/>
    <s v="Central Sacramento Valley"/>
    <s v="2023 Conaway Ranch North 2"/>
    <s v="2023 Conaway Ranch North 2"/>
    <x v="0"/>
    <d v="2023-06-13T00:00:00"/>
    <d v="2023-07-27T00:00:00"/>
    <s v="Simple"/>
    <m/>
    <s v="2023 Conaway Ranch North 2 p1"/>
    <x v="1"/>
    <s v="Himalayan blackberry, cattails"/>
    <n v="10000"/>
    <s v="pre"/>
    <d v="2023-06-16T00:00:00"/>
    <d v="2023-06-28T00:00:00"/>
    <d v="2023-07-07T00:00:00"/>
    <d v="2023-07-23T00:00:00"/>
    <s v="ND"/>
    <s v="ND"/>
  </r>
  <r>
    <n v="48472"/>
    <s v="Colusa NWR"/>
    <s v="2023 Delevan T6"/>
    <s v="2023 Delevan Blind 4"/>
    <x v="0"/>
    <d v="2023-05-30T00:00:00"/>
    <d v="2023-07-25T00:00:00"/>
    <s v="No TRBL"/>
    <m/>
    <s v="2023 Delevan Blind 4 p1"/>
    <x v="5"/>
    <s v="Bulrush"/>
    <s v="No Colony"/>
    <s v="ND"/>
    <s v="ND"/>
    <s v="ND"/>
    <s v="ND"/>
    <s v="ND"/>
    <s v="ND"/>
    <s v="ND"/>
  </r>
  <r>
    <n v="48454"/>
    <s v="Colusa NWR"/>
    <s v="2023 Delevan NWR T43.1"/>
    <s v="2023 Delevan NWR T43.1"/>
    <x v="0"/>
    <d v="2023-05-16T00:00:00"/>
    <d v="2023-07-18T00:00:00"/>
    <s v="No TRBL"/>
    <m/>
    <s v="2023 Delevan NWR T43.1 p1"/>
    <x v="5"/>
    <s v="Bulrush, cattails, Himalayan blackberry"/>
    <s v="No Colony"/>
    <s v="ND"/>
    <s v="ND"/>
    <s v="ND"/>
    <s v="ND"/>
    <s v="ND"/>
    <s v="ND"/>
    <s v="ND"/>
  </r>
  <r>
    <n v="48877"/>
    <s v="Colusa NWR"/>
    <s v="2023 Delevan NWR T43.2"/>
    <s v="2023 Delevan NWR T43.2"/>
    <x v="0"/>
    <d v="2023-05-16T00:00:00"/>
    <d v="2023-09-16T00:00:00"/>
    <s v="No TRBL"/>
    <m/>
    <s v="2023 Delevan NWR T43.2 p1"/>
    <x v="5"/>
    <s v="Bulrush, cattails, Himalayan blackberry"/>
    <s v="No Colony"/>
    <s v="ND"/>
    <s v="ND"/>
    <s v="ND"/>
    <s v="ND"/>
    <s v="ND"/>
    <s v="ND"/>
    <s v="ND"/>
  </r>
  <r>
    <n v="48462"/>
    <s v="Solano County"/>
    <s v="2023 Creed Rd"/>
    <s v="2023 Denverton Creek"/>
    <x v="0"/>
    <d v="2023-03-12T00:00:00"/>
    <d v="2023-08-07T00:00:00"/>
    <s v="Simple"/>
    <m/>
    <s v="2023 Denverton Creek p1"/>
    <x v="0"/>
    <s v="Himalayan blackberry"/>
    <n v="1000"/>
    <d v="2023-04-22T00:00:00"/>
    <s v="~5/6/2023"/>
    <s v="~5/18/2023"/>
    <s v="ND"/>
    <s v="ND"/>
    <d v="2023-05-10T00:00:00"/>
    <s v="ND"/>
  </r>
  <r>
    <n v="48463"/>
    <s v="Central Sacramento Valley"/>
    <s v="2023 Hale Road"/>
    <s v="2023 Hale Road"/>
    <x v="0"/>
    <d v="2023-04-18T00:00:00"/>
    <d v="2023-07-08T00:00:00"/>
    <s v="Sequential"/>
    <m/>
    <s v="2023 Hale Road p1"/>
    <x v="1"/>
    <s v="Himalayan blackberry, cattails"/>
    <n v="10000"/>
    <d v="2023-05-20T00:00:00"/>
    <d v="2023-05-25T00:00:00"/>
    <d v="2023-06-06T00:00:00"/>
    <d v="2023-06-13T00:00:00"/>
    <d v="2023-07-06T00:00:00"/>
    <s v="ND"/>
    <s v="ND"/>
  </r>
  <r>
    <n v="48463"/>
    <s v="Central Sacramento Valley"/>
    <s v="2023 Hale Road"/>
    <s v="2023 Hale Road"/>
    <x v="0"/>
    <d v="2023-04-18T00:00:00"/>
    <d v="2023-07-08T00:00:00"/>
    <s v="Sequential"/>
    <m/>
    <s v="2023 Hale Road p2"/>
    <x v="4"/>
    <s v="Himalayan blackberry, cattails"/>
    <n v="10000"/>
    <d v="2023-06-24T00:00:00"/>
    <s v="~7/1/2023"/>
    <s v="post"/>
    <s v="post"/>
    <s v="post"/>
    <s v="ND"/>
    <s v="ND"/>
  </r>
  <r>
    <n v="48468"/>
    <s v="Central Sacramento Valley"/>
    <s v="2023 Hale Road Site 2"/>
    <s v="2023 Hale Road Site 2"/>
    <x v="12"/>
    <d v="2023-04-11T00:00:00"/>
    <d v="2023-07-08T00:00:00"/>
    <s v="Simple"/>
    <m/>
    <s v="2023 Hale Road Site 2 p1"/>
    <x v="1"/>
    <s v="Himalayan blackberry, cattails"/>
    <n v="10000"/>
    <d v="2023-05-20T00:00:00"/>
    <d v="2023-05-25T00:00:00"/>
    <d v="2023-06-06T00:00:00"/>
    <d v="2023-06-11T00:00:00"/>
    <d v="2023-07-05T00:00:00"/>
    <s v="ND"/>
    <s v="ND"/>
  </r>
  <r>
    <n v="48457"/>
    <s v="Iron Point"/>
    <s v="2023 Iron Point"/>
    <s v="2023 Iron Point"/>
    <x v="0"/>
    <d v="2023-05-09T00:00:00"/>
    <d v="2023-08-22T00:00:00"/>
    <s v="Simple"/>
    <m/>
    <s v="2023 Iron Point p1"/>
    <x v="3"/>
    <s v="Himalayan blackberry, willow"/>
    <n v="600"/>
    <s v="pre"/>
    <s v="pre"/>
    <s v="pre"/>
    <s v="~5/31/2023"/>
    <s v="~6/9/2023"/>
    <s v="ND"/>
    <d v="2023-05-13T00:00:00"/>
  </r>
  <r>
    <n v="48434"/>
    <s v="Central Sacramento Valley"/>
    <s v="2023 Kentucky Lateral"/>
    <s v="2023 Kentucky Lateral"/>
    <x v="0"/>
    <d v="2023-04-15T00:00:00"/>
    <d v="2023-05-22T00:00:00"/>
    <s v="Asynchronous"/>
    <m/>
    <s v="2023 Kentucky Lateral p1"/>
    <x v="1"/>
    <s v="Bull thistle"/>
    <n v="500"/>
    <s v="pre"/>
    <d v="2023-04-14T00:00:00"/>
    <d v="2023-04-26T00:00:00"/>
    <d v="2023-05-12T00:00:00"/>
    <s v="post"/>
    <s v="ND"/>
    <s v="ND"/>
  </r>
  <r>
    <n v="48467"/>
    <s v="Southern Sierra Research Station"/>
    <s v="2023 Kern - Canebreak Ecological Reserve 4"/>
    <s v="2023 Kern - Canebreak Ecological Reserve 4"/>
    <x v="0"/>
    <d v="2023-05-25T00:00:00"/>
    <d v="2023-08-11T00:00:00"/>
    <s v="No TRBL"/>
    <m/>
    <s v="2023 Kern - Canebreak Ecological Reserve 4 p1"/>
    <x v="5"/>
    <s v="Stinging nettle"/>
    <s v="No Colony"/>
    <s v="ND"/>
    <s v="ND"/>
    <s v="ND"/>
    <s v="ND"/>
    <s v="ND"/>
    <s v="ND"/>
    <s v="ND"/>
  </r>
  <r>
    <n v="48470"/>
    <s v="Southern Sierra Research Station"/>
    <s v="2023 Kern - HQ2"/>
    <s v="2023 Kern - Headquarters 2"/>
    <x v="0"/>
    <d v="2023-05-03T00:00:00"/>
    <d v="2023-08-11T00:00:00"/>
    <s v="Sequential"/>
    <m/>
    <s v="2023 Kern - Headquarters 2 p1"/>
    <x v="1"/>
    <s v="Sandbar Willow"/>
    <n v="100"/>
    <d v="2023-05-20T00:00:00"/>
    <d v="2023-05-27T00:00:00"/>
    <d v="2023-06-08T00:00:00"/>
    <d v="2023-06-20T00:00:00"/>
    <d v="2023-07-06T00:00:00"/>
    <s v="ND"/>
    <s v="ND"/>
  </r>
  <r>
    <n v="48470"/>
    <s v="Southern Sierra Research Station"/>
    <s v="2023 Kern - HQ2"/>
    <s v="2023 Kern - Headquarters 2"/>
    <x v="0"/>
    <d v="2023-05-03T00:00:00"/>
    <d v="2023-08-11T00:00:00"/>
    <s v="Sequential"/>
    <m/>
    <s v="2023 Kern - Headquarters 2 p2"/>
    <x v="1"/>
    <s v="Sandbar Willow"/>
    <n v="100"/>
    <d v="2023-06-23T00:00:00"/>
    <d v="2023-06-23T00:00:00"/>
    <d v="2023-07-05T00:00:00"/>
    <d v="2023-07-19T00:00:00"/>
    <d v="2023-08-07T00:00:00"/>
    <s v="ND"/>
    <s v="ND"/>
  </r>
  <r>
    <n v="48465"/>
    <s v="Central Sacramento Valley"/>
    <s v="2023 Laguna Fry Confluence - Site 1"/>
    <s v="2023 Laguna Frye Confluence 3"/>
    <x v="0"/>
    <d v="2023-05-09T00:00:00"/>
    <d v="2023-06-18T00:00:00"/>
    <s v="Simple"/>
    <m/>
    <s v="2023 Laguna Frye Confluence 3 p1"/>
    <x v="1"/>
    <s v="NEED"/>
    <s v="NEED"/>
    <s v="pre"/>
    <d v="2023-05-05T00:00:00"/>
    <d v="2023-05-17T00:00:00"/>
    <d v="2023-05-26T00:00:00"/>
    <s v="~6/1/2023"/>
    <s v="ND"/>
    <s v="ND"/>
  </r>
  <r>
    <n v="48747"/>
    <s v="Central Sacramento Valley"/>
    <s v="2023 Weagell Property 1"/>
    <s v="2023 Laguna Frye Confluence 1"/>
    <x v="0"/>
    <d v="2023-04-19T00:00:00"/>
    <d v="2023-06-18T00:00:00"/>
    <s v="Complex"/>
    <s v="Additions, Sequential"/>
    <s v="2023 Laguna Frye Confluence 1 p1"/>
    <x v="1"/>
    <s v="Himalayan blackberry, cattails"/>
    <n v="17500"/>
    <d v="2023-04-20T00:00:00"/>
    <d v="2023-04-21T00:00:00"/>
    <d v="2023-05-03T00:00:00"/>
    <d v="2023-05-22T00:00:00"/>
    <d v="2023-06-14T00:00:00"/>
    <s v="ND"/>
    <s v="ND"/>
  </r>
  <r>
    <n v="48747"/>
    <s v="Central Sacramento Valley"/>
    <s v="2023 Weagell Property 1"/>
    <s v="2023 Laguna Frye Confluence 1"/>
    <x v="0"/>
    <d v="2023-04-19T00:00:00"/>
    <d v="2023-06-18T00:00:00"/>
    <s v="Complex"/>
    <s v="Additions, Sequential"/>
    <s v="2023 Laguna Frye Confluence 1 p2"/>
    <x v="1"/>
    <s v="Himalayan blackberry, cattails"/>
    <n v="17500"/>
    <s v="ND"/>
    <s v="ND"/>
    <s v="ND"/>
    <s v="ND"/>
    <s v="ND"/>
    <s v="ND"/>
    <s v="ND"/>
  </r>
  <r>
    <n v="48747"/>
    <s v="Central Sacramento Valley"/>
    <s v="2023 Weagell Property 1"/>
    <s v="2023 Laguna Frye Confluence 1"/>
    <x v="0"/>
    <d v="2023-04-19T00:00:00"/>
    <d v="2023-06-18T00:00:00"/>
    <s v="Complex"/>
    <s v="Additions, Sequential"/>
    <s v="2023 Laguna Frye Confluence 1 p3"/>
    <x v="1"/>
    <s v="Himalayan blackberry, cattails"/>
    <n v="17500"/>
    <s v="ND"/>
    <s v="ND"/>
    <s v="ND"/>
    <s v="ND"/>
    <s v="ND"/>
    <s v="ND"/>
    <s v="ND"/>
  </r>
  <r>
    <n v="48747"/>
    <s v="Central Sacramento Valley"/>
    <s v="2023 Weagell Property 1"/>
    <s v="2023 Laguna Frye Confluence 1"/>
    <x v="0"/>
    <d v="2023-04-19T00:00:00"/>
    <d v="2023-06-18T00:00:00"/>
    <s v="Complex"/>
    <s v="Additions, Sequential"/>
    <s v="2023 Laguna Frye Confluence 1 p4"/>
    <x v="4"/>
    <s v="Himalayan blackberry, cattails"/>
    <n v="17500"/>
    <s v="ND"/>
    <s v="ND"/>
    <s v="ND"/>
    <s v="ND"/>
    <s v="ND"/>
    <s v="ND"/>
    <s v="ND"/>
  </r>
  <r>
    <n v="48458"/>
    <s v="Central Sacramento Valley"/>
    <s v="2023 Weagell Property 2"/>
    <s v="2023 Laguna Frye Confluence 2"/>
    <x v="13"/>
    <d v="2023-04-25T00:00:00"/>
    <d v="2023-06-18T00:00:00"/>
    <s v="Sequential"/>
    <m/>
    <s v="2023 Laguna Frye Confluence 2 p1"/>
    <x v="1"/>
    <s v="Himalayan blackberry, cattails"/>
    <n v="17500"/>
    <d v="2023-04-26T00:00:00"/>
    <d v="2023-05-07T00:00:00"/>
    <d v="2023-05-19T00:00:00"/>
    <d v="2023-05-25T00:00:00"/>
    <d v="2023-06-08T00:00:00"/>
    <s v="ND"/>
    <s v="ND"/>
  </r>
  <r>
    <n v="48458"/>
    <s v="Central Sacramento Valley"/>
    <s v="2023 Weagell Property 2"/>
    <s v="2023 Laguna Frye Confluence 2"/>
    <x v="13"/>
    <d v="2023-04-25T00:00:00"/>
    <d v="2023-06-18T00:00:00"/>
    <s v="Sequential"/>
    <m/>
    <s v="2023 Laguna Frye Confluence 2 p2"/>
    <x v="4"/>
    <s v="Himalayan blackberry, cattails"/>
    <n v="17500"/>
    <d v="2023-05-31T00:00:00"/>
    <d v="2023-06-04T00:00:00"/>
    <s v="ND"/>
    <s v="ND"/>
    <s v="ND"/>
    <s v="ND"/>
    <s v="ND"/>
  </r>
  <r>
    <n v="48428"/>
    <s v="Los Vaqueros"/>
    <s v="2023 Los Vaqueros - Walnut Trail Marsh"/>
    <s v="2023 Los Vaqueros - Walnut Trail Marsh"/>
    <x v="0"/>
    <d v="2023-04-07T00:00:00"/>
    <d v="2023-07-07T00:00:00"/>
    <s v="Simple"/>
    <m/>
    <s v="2023 Los Vaqueros - Walnut Trail Marsh p1"/>
    <x v="0"/>
    <s v="Bulrush, cattails"/>
    <n v="500"/>
    <s v="pre"/>
    <d v="2023-04-14T00:00:00"/>
    <d v="2023-04-26T00:00:00"/>
    <s v="ND"/>
    <s v="ND"/>
    <d v="2023-04-30T00:00:00"/>
    <s v="ND"/>
  </r>
  <r>
    <n v="48444"/>
    <s v="Los Vaqueros"/>
    <s v="2023 Los Vaqueros Reservoir"/>
    <s v="2023 Los Vaqueros Reservoir"/>
    <x v="0"/>
    <d v="2023-03-24T00:00:00"/>
    <d v="2023-07-31T00:00:00"/>
    <s v="Sequential"/>
    <m/>
    <s v="2023 Los Vaqueros Reservoir p1"/>
    <x v="1"/>
    <s v="Himalayan blackberry"/>
    <n v="2000"/>
    <d v="2023-04-07T00:00:00"/>
    <d v="2023-04-16T00:00:00"/>
    <d v="2023-04-28T00:00:00"/>
    <d v="2023-05-06T00:00:00"/>
    <d v="2023-06-14T00:00:00"/>
    <s v="ND"/>
    <s v="ND"/>
  </r>
  <r>
    <n v="48444"/>
    <s v="Los Vaqueros"/>
    <s v="2023 Los Vaqueros Reservoir"/>
    <s v="2023 Los Vaqueros Reservoir"/>
    <x v="0"/>
    <d v="2023-03-24T00:00:00"/>
    <d v="2023-07-31T00:00:00"/>
    <s v="Sequential"/>
    <m/>
    <s v="2023 Los Vaqueros Reservoir p2"/>
    <x v="1"/>
    <s v="Himalayan blackberry"/>
    <n v="2000"/>
    <d v="2023-05-27T00:00:00"/>
    <d v="2023-06-03T00:00:00"/>
    <d v="2023-06-15T00:00:00"/>
    <d v="2023-06-26T00:00:00"/>
    <d v="2023-07-17T00:00:00"/>
    <s v="ND"/>
    <s v="ND"/>
  </r>
  <r>
    <n v="48436"/>
    <s v="Markham Ravine"/>
    <s v="2023 Markham Ravine"/>
    <s v="2023 Markham Ravine"/>
    <x v="0"/>
    <d v="2023-05-05T00:00:00"/>
    <d v="2023-07-17T00:00:00"/>
    <s v="Simple"/>
    <m/>
    <s v="2023 Markham Ravine p1"/>
    <x v="3"/>
    <s v="Himalayan blackberry, willow"/>
    <s v="3000-4000"/>
    <d v="2023-05-11T00:00:00"/>
    <d v="2023-05-19T00:00:00"/>
    <d v="2023-05-31T00:00:00"/>
    <d v="2023-06-13T00:00:00"/>
    <s v="post"/>
    <s v="ND"/>
    <d v="2023-05-23T00:00:00"/>
  </r>
  <r>
    <n v="48446"/>
    <s v="Merced and San Luis NWR"/>
    <s v="2023 Merced NWR - Cottonwood"/>
    <s v="2023 Merced NWR - Cottonwood Trail"/>
    <x v="0"/>
    <d v="2023-05-12T00:00:00"/>
    <d v="2023-06-16T00:00:00"/>
    <s v="Sequential"/>
    <m/>
    <s v="2023 Merced NWR - Cottonwood Trail p1"/>
    <x v="1"/>
    <s v="Buttonwillow, milk thistle"/>
    <s v="ND"/>
    <s v="pre"/>
    <s v="pre"/>
    <s v="pre"/>
    <s v="pre"/>
    <d v="2023-05-30T00:00:00"/>
    <s v="ND"/>
    <s v="ND"/>
  </r>
  <r>
    <n v="48446"/>
    <s v="Merced and San Luis NWR"/>
    <s v="2023 Merced NWR - Cottonwood"/>
    <s v="2023 Merced NWR - Cottonwood Trail"/>
    <x v="0"/>
    <d v="2023-05-12T00:00:00"/>
    <d v="2023-06-16T00:00:00"/>
    <s v="Sequential"/>
    <m/>
    <s v="2023 Merced NWR - Cottonwood Trail p2"/>
    <x v="3"/>
    <s v="Buttonwillow, milk thistle"/>
    <s v="ND"/>
    <s v="pre"/>
    <s v="ND"/>
    <s v="~5/25/2023"/>
    <s v="~6/4/2023"/>
    <s v="post"/>
    <s v="ND"/>
    <d v="2023-06-02T00:00:00"/>
  </r>
  <r>
    <n v="48490"/>
    <s v="Merced and San Luis NWR"/>
    <s v="2023 Merced NWR Deadman Wetland Ditch"/>
    <s v="2023 Merced NWR - Deadman Wetland Ditch"/>
    <x v="0"/>
    <d v="2023-05-23T00:00:00"/>
    <d v="2023-06-27T00:00:00"/>
    <s v="Simple"/>
    <m/>
    <s v="2023 Merced NWR - Deadman Wetland Ditch p1"/>
    <x v="0"/>
    <s v="Milk thistle, mustard"/>
    <n v="200"/>
    <s v="pre"/>
    <d v="2023-05-19T00:00:00"/>
    <d v="2023-05-31T00:00:00"/>
    <s v="ND"/>
    <s v="ND"/>
    <d v="2023-06-04T00:00:00"/>
    <s v="ND"/>
  </r>
  <r>
    <n v="48448"/>
    <s v="Central Sacramento Valley"/>
    <s v="2023 North Regional Pond"/>
    <s v="2023 North Regional Pond"/>
    <x v="0"/>
    <d v="2023-03-31T00:00:00"/>
    <d v="2023-06-02T00:00:00"/>
    <s v="Simple"/>
    <m/>
    <s v="2023 North Regional Pond p1"/>
    <x v="1"/>
    <s v="Mustard, milk thistle"/>
    <n v="150"/>
    <d v="2023-04-07T00:00:00"/>
    <d v="2023-04-23T00:00:00"/>
    <d v="2023-05-05T00:00:00"/>
    <d v="2023-05-15T00:00:00"/>
    <s v="post"/>
    <s v="ND"/>
    <s v="ND"/>
  </r>
  <r>
    <n v="48397"/>
    <s v="Oregon"/>
    <s v="2023 OR Dizney Rd"/>
    <s v="2023 Oregon State - Dizney Rd"/>
    <x v="0"/>
    <d v="2023-04-29T00:00:00"/>
    <d v="2023-07-15T00:00:00"/>
    <s v="Simple"/>
    <m/>
    <s v="2023 Oregon State - Dizney Rd p1"/>
    <x v="3"/>
    <s v="Cattails, Himalayan blackberry"/>
    <s v="75-100"/>
    <s v="pre"/>
    <d v="2023-05-07T00:00:00"/>
    <d v="2023-05-19T00:00:00"/>
    <s v="~6/3/2023"/>
    <d v="2023-06-09T00:00:00"/>
    <s v="ND"/>
    <d v="2023-05-25T00:00:00"/>
  </r>
  <r>
    <n v="48392"/>
    <s v="Oregon"/>
    <s v="2023 OR Eureka Rd"/>
    <s v="2023 Oregon State - Eureka Lane"/>
    <x v="0"/>
    <d v="2023-04-29T00:00:00"/>
    <d v="2023-07-24T00:00:00"/>
    <s v="Asynchronous"/>
    <m/>
    <s v="2023 Oregon State - Eureka Lane p1"/>
    <x v="1"/>
    <s v="Cattails, Himalayan blackberry"/>
    <n v="100"/>
    <s v="ND"/>
    <d v="2023-05-07T00:00:00"/>
    <d v="2023-05-19T00:00:00"/>
    <d v="2023-05-30T00:00:00"/>
    <d v="2023-07-04T00:00:00"/>
    <s v="ND"/>
    <s v="ND"/>
  </r>
  <r>
    <n v="48445"/>
    <s v="Oregon"/>
    <s v="2023 OR Prineville North"/>
    <s v="2023 Oregon State - Prineville Grimes Rd"/>
    <x v="0"/>
    <d v="2023-04-29T00:00:00"/>
    <d v="2023-07-15T00:00:00"/>
    <s v="Sequential"/>
    <m/>
    <s v="2023 Oregon State - Prineville Grimes Rd p1"/>
    <x v="1"/>
    <s v="Cattails"/>
    <s v="50-75"/>
    <s v="ND"/>
    <d v="2023-05-03T00:00:00"/>
    <d v="2023-05-15T00:00:00"/>
    <d v="2023-05-26T00:00:00"/>
    <d v="2023-05-30T00:00:00"/>
    <s v="ND"/>
    <s v="ND"/>
  </r>
  <r>
    <n v="48445"/>
    <s v="Oregon"/>
    <s v="2023 OR Prineville North"/>
    <s v="2023 Oregon State - Prineville Grimes Rd"/>
    <x v="0"/>
    <d v="2023-04-29T00:00:00"/>
    <d v="2023-07-15T00:00:00"/>
    <s v="Sequential"/>
    <m/>
    <s v="2023 Oregon State - Prineville Grimes Rd p2"/>
    <x v="1"/>
    <s v="Cattails"/>
    <s v="50-75"/>
    <d v="2023-06-03T00:00:00"/>
    <d v="2023-06-09T00:00:00"/>
    <d v="2023-06-21T00:00:00"/>
    <d v="2023-07-06T00:00:00"/>
    <s v="post"/>
    <s v="ND"/>
    <s v="ND"/>
  </r>
  <r>
    <n v="48796"/>
    <s v="CNLM"/>
    <s v="2023 Panoche Creek Preserve - Corrals NW"/>
    <s v="2023 Panoche Creek Preserve - Corrals North West"/>
    <x v="14"/>
    <d v="2023-04-29T00:00:00"/>
    <d v="2023-06-12T00:00:00"/>
    <s v="Simple"/>
    <m/>
    <s v="2023 Panoche Creek Preserve - Corrals North West p1"/>
    <x v="1"/>
    <s v="Fiddleneck, cheeseweed, London rocket, and Chilean chess"/>
    <s v="400-500"/>
    <s v="pre"/>
    <s v="pre"/>
    <s v="pre"/>
    <d v="2023-05-08T00:00:00"/>
    <d v="2023-05-16T00:00:00"/>
    <s v="ND"/>
    <s v="ND"/>
  </r>
  <r>
    <n v="48797"/>
    <s v="CNLM"/>
    <s v="2023 Panoche Creek Preserve - Corrals SE"/>
    <s v="2023 Panoche Creek Preserve - Corrals South East"/>
    <x v="0"/>
    <d v="2023-04-29T00:00:00"/>
    <d v="2023-06-12T00:00:00"/>
    <s v="Simple"/>
    <m/>
    <s v="2023 Panoche Creek Preserve - Corrals South East p1"/>
    <x v="1"/>
    <s v="Fiddleneck, cheeseweed, London rocket, and Chilean chess"/>
    <s v="400-500"/>
    <s v="pre"/>
    <s v="pre"/>
    <s v="pre"/>
    <d v="2023-05-07T00:00:00"/>
    <d v="2023-05-19T00:00:00"/>
    <s v="ND"/>
    <s v="ND"/>
  </r>
  <r>
    <n v="48440"/>
    <s v="San Bernardino"/>
    <s v="2023 Peterson Ranch Pond - East"/>
    <s v="2023 Petersen Ranch Pond - East"/>
    <x v="0"/>
    <d v="2023-04-05T00:00:00"/>
    <d v="2023-07-28T00:00:00"/>
    <s v="No Colony"/>
    <m/>
    <s v="2023 Petersen Ranch Pond - East p1"/>
    <x v="2"/>
    <s v="Bulrush"/>
    <s v="No Colony"/>
    <s v="ND"/>
    <s v="ND"/>
    <s v="ND"/>
    <s v="ND"/>
    <s v="ND"/>
    <s v="ND"/>
    <s v="ND"/>
  </r>
  <r>
    <n v="48461"/>
    <s v="San Bernardino"/>
    <s v="2023 Peterson Ranch Pond - West"/>
    <s v="2023 Petersen Ranch Pond - West"/>
    <x v="15"/>
    <d v="2023-04-05T00:00:00"/>
    <d v="2023-07-28T00:00:00"/>
    <s v="No Colony"/>
    <m/>
    <s v="2023 Petersen Ranch Pond - West p1"/>
    <x v="2"/>
    <s v="Bulrush"/>
    <s v="No Colony"/>
    <s v="ND"/>
    <s v="ND"/>
    <s v="ND"/>
    <s v="ND"/>
    <s v="ND"/>
    <s v="ND"/>
    <s v="ND"/>
  </r>
  <r>
    <n v="48475"/>
    <s v="Central Sacramento Valley"/>
    <s v="2023 Plumas Arboga 2"/>
    <s v="2023 Plumas Arboga 2"/>
    <x v="0"/>
    <d v="2023-05-26T00:00:00"/>
    <d v="2023-07-08T00:00:00"/>
    <s v="Simple"/>
    <m/>
    <s v="2023 Plumas Arboga 2 p1"/>
    <x v="1"/>
    <s v="Himalayan blackberry"/>
    <n v="7000"/>
    <s v="pre"/>
    <d v="2023-05-26T00:00:00"/>
    <d v="2023-06-07T00:00:00"/>
    <d v="2023-06-17T00:00:00"/>
    <d v="2023-07-05T00:00:00"/>
    <s v="ND"/>
    <s v="ND"/>
  </r>
  <r>
    <n v="48437"/>
    <s v="Central Sacramento Valley"/>
    <s v="2023 Plumas Arboga 8 - North Regional Pond"/>
    <s v="2023 Plumas Arboga 8"/>
    <x v="0"/>
    <d v="2023-04-21T00:00:00"/>
    <d v="2023-07-08T00:00:00"/>
    <s v="Sequential"/>
    <m/>
    <s v="2023 Plumas Arboga 8 p1"/>
    <x v="3"/>
    <s v="Himalayan blackberry"/>
    <n v="4000"/>
    <s v="pre"/>
    <d v="2023-04-24T00:00:00"/>
    <d v="2023-05-06T00:00:00"/>
    <d v="2023-05-15T00:00:00"/>
    <s v="~5/25/2023"/>
    <s v="ND"/>
    <d v="2023-05-06T00:00:00"/>
  </r>
  <r>
    <n v="48437"/>
    <s v="Central Sacramento Valley"/>
    <s v="2023 Plumas Arboga 8 - North Regional Pond"/>
    <s v="2023 Plumas Arboga 8"/>
    <x v="0"/>
    <d v="2023-04-21T00:00:00"/>
    <d v="2023-07-08T00:00:00"/>
    <s v="Sequential"/>
    <m/>
    <s v="2023 Plumas Arboga 8 p2"/>
    <x v="1"/>
    <s v="Himalayan blackberry"/>
    <n v="4000"/>
    <d v="2023-05-27T00:00:00"/>
    <d v="2023-06-03T00:00:00"/>
    <d v="2023-06-15T00:00:00"/>
    <d v="2023-06-22T00:00:00"/>
    <s v="post"/>
    <s v="ND"/>
    <s v="ND"/>
  </r>
  <r>
    <n v="48764"/>
    <s v="Rancho Jamul"/>
    <s v="2023 Rancho Jamul North Pond - fix lat lon"/>
    <s v="2023 Rancho Jamul - North Pond"/>
    <x v="0"/>
    <d v="2023-03-27T00:00:00"/>
    <d v="2023-08-04T00:00:00"/>
    <s v="Simple"/>
    <m/>
    <s v="2023 Rancho Jamul - North Pond p1"/>
    <x v="1"/>
    <s v="NEED"/>
    <s v="NEED"/>
    <d v="2023-04-22T00:00:00"/>
    <d v="2023-05-04T00:00:00"/>
    <d v="2023-05-16T00:00:00"/>
    <d v="2023-05-26T00:00:00"/>
    <s v="~6/4/2023"/>
    <s v="ND"/>
    <s v="ND"/>
  </r>
  <r>
    <n v="48765"/>
    <s v="Rancho Jamul"/>
    <s v="2023 Rancho Jamul Site 1 fix lat lon"/>
    <s v="2023 Rancho Jamul - Site 1"/>
    <x v="0"/>
    <d v="2023-03-27T00:00:00"/>
    <d v="2023-08-03T00:00:00"/>
    <s v="Sequential"/>
    <m/>
    <s v="2023 Rancho Jamul - Site 1 p1"/>
    <x v="1"/>
    <s v="NEED"/>
    <s v="NEED"/>
    <d v="2023-03-29T00:00:00"/>
    <d v="2023-04-13T00:00:00"/>
    <d v="2023-04-25T00:00:00"/>
    <s v="~5/6/2023"/>
    <s v="~6/2/2023"/>
    <s v="ND"/>
    <s v="ND"/>
  </r>
  <r>
    <n v="48765"/>
    <s v="Rancho Jamul"/>
    <s v="2023 Rancho Jamul Site 1 fix lat lon"/>
    <s v="2023 Rancho Jamul - Site 1"/>
    <x v="0"/>
    <d v="2023-03-27T00:00:00"/>
    <d v="2023-08-03T00:00:00"/>
    <s v="Sequential"/>
    <m/>
    <s v="2023 Rancho Jamul - Site 1 p2"/>
    <x v="1"/>
    <s v="NEED"/>
    <s v="NEED"/>
    <d v="2023-05-26T00:00:00"/>
    <s v="~6/6/2023"/>
    <s v="~6/18/2023"/>
    <s v="~7/10/2023"/>
    <s v="~7/22/2023"/>
    <s v="ND"/>
    <s v="ND"/>
  </r>
  <r>
    <n v="48438"/>
    <s v="San Jacinto Wildlife Area"/>
    <s v="2023 Bridge St Pond"/>
    <s v="2023 San Jacinto Wildlife Area - Bridge St. Pond"/>
    <x v="0"/>
    <d v="2023-04-18T00:00:00"/>
    <d v="2023-05-06T00:00:00"/>
    <s v="No TRBL"/>
    <m/>
    <s v="2023 San Jacinto Wildlife Area - Bridge St. Pond p1"/>
    <x v="5"/>
    <s v="Bulrush, cattails"/>
    <s v="No Colony"/>
    <s v="ND"/>
    <s v="ND"/>
    <s v="ND"/>
    <s v="ND"/>
    <s v="ND"/>
    <s v="ND"/>
    <s v="ND"/>
  </r>
  <r>
    <n v="48439"/>
    <s v="San Jacinto Wildlife Area"/>
    <s v="2023 West of Davis"/>
    <s v="2023 San Jacinto Wildlife Area West of Davis"/>
    <x v="0"/>
    <d v="2023-05-06T00:00:00"/>
    <d v="2023-06-29T00:00:00"/>
    <s v="Sequential"/>
    <m/>
    <s v="2023 San Jacinto Wildlife Area West of Davis p1"/>
    <x v="1"/>
    <s v="Cattails"/>
    <n v="1250"/>
    <s v="pre"/>
    <s v="pre"/>
    <s v="pre"/>
    <s v="pre"/>
    <d v="2023-05-13T00:00:00"/>
    <s v="ND"/>
    <s v="ND"/>
  </r>
  <r>
    <n v="48439"/>
    <s v="San Jacinto Wildlife Area"/>
    <s v="2023 West of Davis"/>
    <s v="2023 San Jacinto Wildlife Area West of Davis"/>
    <x v="0"/>
    <d v="2023-05-06T00:00:00"/>
    <d v="2023-06-29T00:00:00"/>
    <s v="Sequential"/>
    <m/>
    <s v="2023 San Jacinto Wildlife Area West of Davis p2"/>
    <x v="1"/>
    <s v="Cattails"/>
    <n v="1250"/>
    <s v="pre"/>
    <d v="2023-05-10T00:00:00"/>
    <d v="2023-05-22T00:00:00"/>
    <d v="2023-06-02T00:00:00"/>
    <d v="2023-06-10T00:00:00"/>
    <s v="ND"/>
    <s v="ND"/>
  </r>
  <r>
    <n v="48464"/>
    <s v="Merced and San Luis NWR"/>
    <s v="2023 San Luis NWR - West Bank Creek"/>
    <s v="2023 San Luis NWR - Fiddleneck Lake"/>
    <x v="0"/>
    <d v="2023-05-26T00:00:00"/>
    <d v="2023-07-12T00:00:00"/>
    <s v="Simple"/>
    <m/>
    <s v="2023 San Luis NWR - Fiddleneck Lake p1"/>
    <x v="3"/>
    <s v="Milk thistle, mustard"/>
    <n v="500"/>
    <s v="pre"/>
    <d v="2023-06-03T00:00:00"/>
    <d v="2023-06-15T00:00:00"/>
    <s v="~6/24/2023"/>
    <s v="~7/5/2023"/>
    <s v="ND"/>
    <d v="2023-06-05T00:00:00"/>
  </r>
  <r>
    <n v="48447"/>
    <s v="Merced and San Luis NWR"/>
    <s v="2023 San Luis Bear Creek"/>
    <s v="2023 San Luis NWR - Tanager Slough"/>
    <x v="0"/>
    <d v="2023-06-16T00:00:00"/>
    <d v="2023-07-24T00:00:00"/>
    <s v="Simple"/>
    <m/>
    <s v="2023 San Luis NWR - Tanager Slough p1"/>
    <x v="3"/>
    <s v="Willows"/>
    <s v="200-900"/>
    <s v="pre"/>
    <d v="2023-06-23T00:00:00"/>
    <d v="2023-07-05T00:00:00"/>
    <d v="2023-07-15T00:00:00"/>
    <s v="post"/>
    <s v="ND"/>
    <d v="2023-06-20T00:00:00"/>
  </r>
  <r>
    <n v="48466"/>
    <s v="Sedgwick"/>
    <s v="2023 Sedgwick"/>
    <s v="2023 Sedgwick Reserve"/>
    <x v="0"/>
    <d v="2023-03-26T00:00:00"/>
    <d v="2023-07-29T00:00:00"/>
    <s v="Asynchronous"/>
    <m/>
    <s v="2023 Sedgwick Reserve p1"/>
    <x v="1"/>
    <s v="Bulrush, cattails"/>
    <n v="300"/>
    <s v="pre"/>
    <s v="~4/3/2023"/>
    <s v="~4/15/2023"/>
    <d v="2023-04-29T00:00:00"/>
    <d v="2023-05-19T00:00:00"/>
    <s v="ND"/>
    <s v="ND"/>
  </r>
  <r>
    <n v="48478"/>
    <s v="Central Sacramento Valley"/>
    <s v="2023 South Virginia Road 3"/>
    <s v="2023 South Virginia Road 3"/>
    <x v="0"/>
    <d v="2023-04-11T00:00:00"/>
    <d v="2023-06-06T00:00:00"/>
    <s v="No TRBL"/>
    <m/>
    <s v="2023 South Virginia Road 3 p1"/>
    <x v="5"/>
    <s v="Himalayan blackberry, willows"/>
    <n v="0"/>
    <s v="ND"/>
    <s v="ND"/>
    <s v="ND"/>
    <s v="ND"/>
    <s v="ND"/>
    <s v="ND"/>
    <s v="ND"/>
  </r>
  <r>
    <n v="48456"/>
    <s v="Central Sacramento Valley"/>
    <s v="2023 Virginia at Ostrom"/>
    <s v="2023 Virginia at Ostrom"/>
    <x v="0"/>
    <d v="2023-04-18T00:00:00"/>
    <d v="2023-06-14T00:00:00"/>
    <s v="No Colony"/>
    <m/>
    <s v="2023 Virginia at Ostrom p1"/>
    <x v="2"/>
    <s v="Himalayan blackberry, cattails"/>
    <n v="0"/>
    <s v="ND"/>
    <s v="ND"/>
    <s v="ND"/>
    <s v="ND"/>
    <s v="ND"/>
    <s v="ND"/>
    <s v="ND"/>
  </r>
  <r>
    <n v="48398"/>
    <s v="Washington"/>
    <s v="2023 WA Harder Spring"/>
    <s v="2023 Washington State - Harder Spring"/>
    <x v="0"/>
    <d v="2023-04-10T00:00:00"/>
    <d v="2023-08-09T00:00:00"/>
    <s v="Sequential"/>
    <m/>
    <s v="2023 Washington State - Harder Spring p1"/>
    <x v="1"/>
    <s v="Bulrush, cattails, common reed"/>
    <n v="165"/>
    <s v="ND"/>
    <s v="ND"/>
    <s v="ND"/>
    <d v="2023-06-17T00:00:00"/>
    <d v="2023-07-08T00:00:00"/>
    <s v="ND"/>
    <s v="ND"/>
  </r>
  <r>
    <n v="48398"/>
    <s v="Washington"/>
    <s v="2023 WA Harder Spring"/>
    <s v="2023 Washington State - Harder Spring"/>
    <x v="0"/>
    <d v="2023-04-10T00:00:00"/>
    <d v="2023-08-09T00:00:00"/>
    <s v="Sequential"/>
    <m/>
    <s v="2023 Washington State - Harder Spring p2"/>
    <x v="1"/>
    <s v="Bulrush, cattails, common reed"/>
    <n v="165"/>
    <s v="ND"/>
    <s v="ND"/>
    <s v="ND"/>
    <d v="2023-07-27T00:00:00"/>
    <d v="2023-08-04T00:00:00"/>
    <s v="ND"/>
    <s v="ND"/>
  </r>
  <r>
    <n v="48393"/>
    <s v="Washington"/>
    <s v="2023 WA McCain Wetlands"/>
    <s v="2023 Washington State - McCain Wetlands"/>
    <x v="0"/>
    <d v="2023-04-10T00:00:00"/>
    <d v="2023-08-07T00:00:00"/>
    <s v="Simple"/>
    <m/>
    <s v="2023 Washington State - McCain Wetlands p1"/>
    <x v="3"/>
    <s v="Cattails, Common reed"/>
    <n v="200"/>
    <s v="ND"/>
    <d v="2023-05-03T00:00:00"/>
    <d v="2023-05-15T00:00:00"/>
    <d v="2023-05-24T00:00:00"/>
    <d v="2023-06-03T00:00:00"/>
    <s v="ND"/>
    <d v="2023-05-21T00:00:00"/>
  </r>
  <r>
    <n v="48471"/>
    <s v="Wind Wolves Preserve"/>
    <s v="2023 Wind Wolves Preserve site 1"/>
    <s v="2023 Wind Wolves Preserve - Los Lobos"/>
    <x v="0"/>
    <d v="2023-04-07T00:00:00"/>
    <d v="2023-07-25T00:00:00"/>
    <s v="Asynchronous"/>
    <m/>
    <s v="2023 Wind Wolves Preserve - Los Lobos p1"/>
    <x v="1"/>
    <s v="Stinging nettle"/>
    <n v="100"/>
    <s v="pre"/>
    <d v="2023-04-23T00:00:00"/>
    <d v="2023-05-05T00:00:00"/>
    <d v="2023-05-17T00:00:00"/>
    <d v="2023-06-07T00:00:00"/>
    <s v="ND"/>
    <s v="ND"/>
  </r>
  <r>
    <n v="48469"/>
    <s v="Wind Wolves Preserve"/>
    <s v="2023 Wind Wolves Preserve Site 2"/>
    <s v="2023 Wind Wolves Preserve - Santiago Wetlands"/>
    <x v="0"/>
    <d v="2023-04-07T00:00:00"/>
    <d v="2023-07-25T00:00:00"/>
    <s v="Asynchronous"/>
    <m/>
    <s v="2023 Wind Wolves Preserve - Santiago Wetlands p1"/>
    <x v="1"/>
    <s v="Cattails, Stinging nettle"/>
    <n v="300"/>
    <s v="pre"/>
    <d v="2023-04-19T00:00:00"/>
    <d v="2023-05-01T00:00:00"/>
    <d v="2023-05-08T00:00:00"/>
    <d v="2023-06-29T00:00:00"/>
    <s v="ND"/>
    <s v="ND"/>
  </r>
  <r>
    <n v="65446"/>
    <s v="Baja"/>
    <s v="2024 Baja Rancho Cinega Redonda 1"/>
    <s v="2024 Baja CiÃ©nega Redonda North"/>
    <x v="0"/>
    <d v="2024-04-23T00:00:00"/>
    <d v="2024-08-19T00:00:00"/>
    <s v="Complex"/>
    <s v="Asynchronous, Sequential"/>
    <s v="2024 Baja CiÃ©nega Redonda North p1"/>
    <x v="1"/>
    <s v="Cattails"/>
    <s v="300-400"/>
    <s v="pre"/>
    <s v="pre"/>
    <s v="pre"/>
    <d v="2024-05-06T00:00:00"/>
    <s v="ND"/>
    <s v="ND"/>
    <s v="ND"/>
  </r>
  <r>
    <n v="65446"/>
    <s v="Baja"/>
    <s v="2024 Baja Rancho Cinega Redonda 1"/>
    <s v="2024 Baja CiÃ©nega Redonda North"/>
    <x v="0"/>
    <d v="2024-04-23T00:00:00"/>
    <d v="2024-08-19T00:00:00"/>
    <s v="Complex"/>
    <s v="Asynchronous, Sequential"/>
    <s v="2024 Baja CiÃ©nega Redonda North p2"/>
    <x v="1"/>
    <s v="Cattails"/>
    <s v="300-400"/>
    <d v="2024-04-24T00:00:00"/>
    <d v="2024-05-13T00:00:00"/>
    <d v="2024-05-25T00:00:00"/>
    <s v="ND"/>
    <d v="2024-07-18T00:00:00"/>
    <s v="ND"/>
    <s v="ND"/>
  </r>
  <r>
    <n v="65447"/>
    <s v="Baja"/>
    <s v="2024 Baja Rancho Cinega Redonda 2"/>
    <s v="2024 Baja CiÃ©nega Redonda South"/>
    <x v="0"/>
    <d v="2024-04-23T00:00:00"/>
    <d v="2024-08-01T00:00:00"/>
    <s v="Sequential"/>
    <m/>
    <s v="2024 Baja CiÃ©nega Redonda South p1"/>
    <x v="1"/>
    <s v="Cattails"/>
    <n v="100"/>
    <s v="pre"/>
    <d v="2024-04-17T00:00:00"/>
    <d v="2024-04-29T00:00:00"/>
    <d v="2024-05-10T00:00:00"/>
    <s v="ND"/>
    <s v="ND"/>
    <s v="ND"/>
  </r>
  <r>
    <n v="65447"/>
    <s v="Baja"/>
    <s v="2024 Baja Rancho Cinega Redonda 2"/>
    <s v="2024 Baja CiÃ©nega Redonda South"/>
    <x v="0"/>
    <d v="2024-04-23T00:00:00"/>
    <d v="2024-08-01T00:00:00"/>
    <s v="Sequential"/>
    <m/>
    <s v="2024 Baja CiÃ©nega Redonda South p2"/>
    <x v="1"/>
    <s v="Cattails"/>
    <n v="100"/>
    <d v="2024-05-11T00:00:00"/>
    <d v="2024-05-23T00:00:00"/>
    <d v="2024-06-04T00:00:00"/>
    <d v="2024-06-11T00:00:00"/>
    <d v="2024-07-07T00:00:00"/>
    <s v="ND"/>
    <s v="ND"/>
  </r>
  <r>
    <n v="65444"/>
    <s v="Baja"/>
    <s v="2024 Baja Lago Mesa Redonda"/>
    <s v="2024 Baja Lago Mesa Redonda"/>
    <x v="0"/>
    <d v="2024-05-02T00:00:00"/>
    <d v="2024-08-04T00:00:00"/>
    <s v="Complex"/>
    <s v="Asynchronous, Sequential"/>
    <s v="2024 Baja Lago Mesa Redonda p1"/>
    <x v="1"/>
    <s v="Cattails"/>
    <n v="150"/>
    <s v="pre"/>
    <s v="pre"/>
    <s v="pre"/>
    <d v="2024-05-03T00:00:00"/>
    <s v="ND"/>
    <s v="ND"/>
    <s v="ND"/>
  </r>
  <r>
    <n v="65444"/>
    <s v="Baja"/>
    <s v="2024 Baja Lago Mesa Redonda"/>
    <s v="2024 Baja Lago Mesa Redonda"/>
    <x v="0"/>
    <d v="2024-05-02T00:00:00"/>
    <d v="2024-08-04T00:00:00"/>
    <s v="Complex"/>
    <s v="Asynchronous, Sequential"/>
    <s v="2024 Baja Lago Mesa Redonda p2"/>
    <x v="1"/>
    <s v="Cattails"/>
    <n v="150"/>
    <s v="pre"/>
    <d v="2024-05-13T00:00:00"/>
    <d v="2024-05-25T00:00:00"/>
    <s v="ND"/>
    <d v="2024-07-14T00:00:00"/>
    <s v="ND"/>
    <s v="ND"/>
  </r>
  <r>
    <n v="65453"/>
    <s v="Colusa NWR"/>
    <s v="2024 Colusa NWR T27.1"/>
    <s v="2024 Colusa NWR T27.1"/>
    <x v="0"/>
    <d v="2024-04-24T00:00:00"/>
    <d v="2024-09-03T00:00:00"/>
    <s v="Simple"/>
    <m/>
    <s v="2024 Colusa NWR T27.1 p1"/>
    <x v="3"/>
    <s v="Bulrush, cattails"/>
    <n v="17500"/>
    <d v="2024-05-25T00:00:00"/>
    <d v="2024-06-01T00:00:00"/>
    <d v="2024-06-13T00:00:00"/>
    <s v="ND"/>
    <s v="ND"/>
    <s v="ND"/>
    <d v="2024-06-19T00:00:00"/>
  </r>
  <r>
    <n v="65454"/>
    <s v="Colusa NWR"/>
    <s v="2024 Colusa NWR T27.2"/>
    <s v="2024 Colusa NWR T27.2"/>
    <x v="0"/>
    <d v="2024-04-24T00:00:00"/>
    <d v="2024-08-04T00:00:00"/>
    <s v="No Colony"/>
    <m/>
    <s v="2024 Colusa NWR T27.2 p1"/>
    <x v="2"/>
    <s v="Bulrush, cattails"/>
    <s v="No Colony"/>
    <d v="2024-06-18T00:00:00"/>
    <s v="ND"/>
    <s v="ND"/>
    <s v="ND"/>
    <s v="ND"/>
    <s v="ND"/>
    <s v="ND"/>
  </r>
  <r>
    <n v="63115"/>
    <s v="CNLM"/>
    <s v="2024 Dublin Ranch Preserve - Lin Livermore Conservation Area"/>
    <s v="2024 Dagnino Pond"/>
    <x v="0"/>
    <d v="2024-05-21T00:00:00"/>
    <d v="2024-08-15T00:00:00"/>
    <s v="Simple"/>
    <m/>
    <s v="2024 Dagnino Pond p1"/>
    <x v="1"/>
    <s v="NEED"/>
    <s v="NEED"/>
    <s v="pre"/>
    <d v="2024-05-17T00:00:00"/>
    <d v="2024-05-29T00:00:00"/>
    <s v="ND"/>
    <d v="2024-07-04T00:00:00"/>
    <s v="ND"/>
    <s v="ND"/>
  </r>
  <r>
    <n v="65456"/>
    <s v="Southern Sierra Research Station"/>
    <s v="2024 Kern 1 - check lat lon"/>
    <s v="2024 Kern 1"/>
    <x v="0"/>
    <d v="2024-04-08T00:00:00"/>
    <d v="2024-08-12T00:00:00"/>
    <s v="No Colony"/>
    <m/>
    <s v="2024 Kern 1 p1"/>
    <x v="2"/>
    <s v="NEED"/>
    <s v="NEED"/>
    <s v="ND"/>
    <s v="ND"/>
    <s v="ND"/>
    <s v="ND"/>
    <s v="ND"/>
    <s v="ND"/>
    <s v="ND"/>
  </r>
  <r>
    <n v="63044"/>
    <s v="Los Vaqueros"/>
    <s v="2024 Los Vaqueros Reservoir"/>
    <s v="2024 Los Vaqueros Reservoir"/>
    <x v="0"/>
    <d v="2024-03-15T00:00:00"/>
    <d v="2024-06-24T00:00:00"/>
    <s v="Sequential"/>
    <m/>
    <s v="2024 Los Vaqueros Reservoir p1"/>
    <x v="3"/>
    <s v="Himalayan blackberry"/>
    <n v="500"/>
    <d v="2024-03-15T00:00:00"/>
    <d v="2024-04-23T00:00:00"/>
    <d v="2024-05-05T00:00:00"/>
    <s v="~5/19/2024"/>
    <s v="ND"/>
    <s v="ND"/>
    <d v="2024-04-26T00:00:00"/>
  </r>
  <r>
    <n v="63044"/>
    <s v="Los Vaqueros"/>
    <s v="2024 Los Vaqueros Reservoir"/>
    <s v="2024 Los Vaqueros Reservoir"/>
    <x v="0"/>
    <d v="2024-03-15T00:00:00"/>
    <d v="2024-06-24T00:00:00"/>
    <s v="Sequential"/>
    <m/>
    <s v="2024 Los Vaqueros Reservoir p2"/>
    <x v="1"/>
    <s v="Himalayan blackberry"/>
    <n v="500"/>
    <d v="2024-05-17T00:00:00"/>
    <d v="2024-05-28T00:00:00"/>
    <d v="2024-06-09T00:00:00"/>
    <d v="2024-06-18T00:00:00"/>
    <s v="post"/>
    <s v="ND"/>
    <s v="ND"/>
  </r>
  <r>
    <n v="63085"/>
    <s v="Markham Ravine"/>
    <s v="2024 Markham Ravine 1"/>
    <s v="2024 Markham Ravine 1"/>
    <x v="0"/>
    <d v="2024-05-07T00:00:00"/>
    <d v="2024-05-24T00:00:00"/>
    <s v="No TRBL"/>
    <m/>
    <s v="2024 Markham Ravine 1 p1"/>
    <x v="5"/>
    <s v="Himalayan blackberry, willow"/>
    <s v="No Colony"/>
    <s v="ND"/>
    <s v="ND"/>
    <s v="ND"/>
    <s v="ND"/>
    <s v="ND"/>
    <s v="ND"/>
    <s v="ND"/>
  </r>
  <r>
    <n v="63088"/>
    <s v="Markham Ravine"/>
    <s v="2024 Markham Ravine 2"/>
    <s v="2024 Markham Ravine 2"/>
    <x v="16"/>
    <d v="2024-05-07T00:00:00"/>
    <d v="2024-05-24T00:00:00"/>
    <s v="No TRBL"/>
    <m/>
    <s v="2024 Markham Ravine 2 p1"/>
    <x v="5"/>
    <s v="Himalayan blackberry, willow"/>
    <s v="No Colony"/>
    <s v="ND"/>
    <s v="ND"/>
    <s v="ND"/>
    <s v="ND"/>
    <s v="ND"/>
    <s v="ND"/>
    <s v="ND"/>
  </r>
  <r>
    <n v="63113"/>
    <s v="Markham Ravine"/>
    <s v="2024 Markham Ravine 3"/>
    <s v="2024 Markham Ravine 3"/>
    <x v="16"/>
    <d v="2024-05-07T00:00:00"/>
    <d v="2024-05-24T00:00:00"/>
    <s v="No TRBL"/>
    <m/>
    <s v="2024 Markham Ravine 3 p1"/>
    <x v="5"/>
    <s v="Himalayan blackberry, willow"/>
    <s v="No Colony"/>
    <s v="ND"/>
    <s v="ND"/>
    <s v="ND"/>
    <s v="ND"/>
    <s v="ND"/>
    <s v="ND"/>
    <s v="ND"/>
  </r>
  <r>
    <n v="63114"/>
    <s v="Merced and San Luis NWR"/>
    <s v="2024 Merced NWR - Cottonwood Trail"/>
    <s v="2024 Merced NWR - Duck Slough Farmfield"/>
    <x v="0"/>
    <d v="2024-04-25T00:00:00"/>
    <d v="2024-07-12T00:00:00"/>
    <s v="Asynchronous"/>
    <m/>
    <s v="2024 Merced NWR - Duck Slough Farmfield p1"/>
    <x v="1"/>
    <s v="Milk thistle, mustard"/>
    <n v="5000"/>
    <s v="pre"/>
    <s v="ND"/>
    <s v="ND"/>
    <s v="~5/11/2024"/>
    <d v="2024-06-12T00:00:00"/>
    <s v="ND"/>
    <s v="ND"/>
  </r>
  <r>
    <n v="63087"/>
    <s v="Monterey"/>
    <s v="2024 Moore Lake - confirm lat lon"/>
    <s v="2024 Moore's Lake"/>
    <x v="0"/>
    <d v="2024-04-10T00:00:00"/>
    <d v="2024-07-01T00:00:00"/>
    <s v="No TRBL"/>
    <m/>
    <s v="2024 Moore's Lake p1"/>
    <x v="5"/>
    <s v="Cattails"/>
    <s v="NEED"/>
    <s v="ND"/>
    <s v="ND"/>
    <s v="ND"/>
    <s v="ND"/>
    <s v="ND"/>
    <s v="ND"/>
    <s v="ND"/>
  </r>
  <r>
    <n v="66012"/>
    <s v="San Bernardino"/>
    <s v="2024 Newberry Springs"/>
    <s v="2024 Newberry Springs  - Lake Wainani"/>
    <x v="0"/>
    <d v="2024-05-27T00:00:00"/>
    <d v="2024-06-02T00:00:00"/>
    <s v="Unknown"/>
    <m/>
    <s v="2024 Newberry Springs  - Lake Wainani p1"/>
    <x v="1"/>
    <s v="Cattails, willows"/>
    <n v="500"/>
    <s v="pre"/>
    <s v="pre"/>
    <s v="pre"/>
    <s v="pre"/>
    <s v="post"/>
    <s v="ND"/>
    <s v="ND"/>
  </r>
  <r>
    <n v="77023"/>
    <s v="Central Sacramento Valley"/>
    <s v="2024 North Regional Pond"/>
    <s v="2024 North Regional Pond"/>
    <x v="0"/>
    <d v="2024-04-16T00:00:00"/>
    <d v="2024-06-02T00:00:00"/>
    <s v="No Colony"/>
    <m/>
    <s v="2024 North Regional Pond p1"/>
    <x v="2"/>
    <s v="Mustard, milk thistle"/>
    <n v="6000"/>
    <d v="2024-04-20T00:00:00"/>
    <s v="ND"/>
    <s v="ND"/>
    <s v="ND"/>
    <s v="ND"/>
    <s v="ND"/>
    <s v="ND"/>
  </r>
  <r>
    <n v="63086"/>
    <s v="Oregon"/>
    <s v="2024 OR Eureka Lane"/>
    <s v="2024 Oregon State -  Eureka Lane"/>
    <x v="0"/>
    <d v="2024-05-04T00:00:00"/>
    <d v="2024-07-14T00:00:00"/>
    <s v="No TRBL"/>
    <m/>
    <s v="2024 Oregon State -  Eureka Lane p1"/>
    <x v="5"/>
    <s v="Cattails, Himalayan blackberry"/>
    <s v="NEED"/>
    <s v="ND"/>
    <s v="ND"/>
    <s v="ND"/>
    <s v="ND"/>
    <s v="ND"/>
    <s v="ND"/>
    <s v="ND"/>
  </r>
  <r>
    <n v="65471"/>
    <s v="CNLM"/>
    <s v="2024 Panoche Creek Preserve - Dollar Marsh East"/>
    <s v="2024 Panoche Creek Marsh East"/>
    <x v="0"/>
    <d v="2024-04-15T00:00:00"/>
    <d v="2024-08-01T00:00:00"/>
    <s v="Simple"/>
    <m/>
    <s v="2024 Panoche Creek Marsh East p1"/>
    <x v="1"/>
    <s v="Cattails, bulrush"/>
    <s v="1000-1500"/>
    <s v="pre"/>
    <d v="2024-04-17T00:00:00"/>
    <d v="2024-04-29T00:00:00"/>
    <d v="2024-05-12T00:00:00"/>
    <d v="2024-06-16T00:00:00"/>
    <s v="ND"/>
    <s v="ND"/>
  </r>
  <r>
    <n v="65469"/>
    <s v="CNLM"/>
    <s v="2024 Panoche Creek Preserve - Dollar Marsh South"/>
    <s v="2024 Panoche Creek Marsh South"/>
    <x v="17"/>
    <d v="2024-04-16T00:00:00"/>
    <d v="2024-08-01T00:00:00"/>
    <s v="Simple"/>
    <m/>
    <s v="2024 Panoche Creek Marsh South p1"/>
    <x v="1"/>
    <s v="Cattails, bulrush"/>
    <s v="Several hundred"/>
    <s v="pre"/>
    <d v="2024-04-19T00:00:00"/>
    <d v="2024-05-01T00:00:00"/>
    <d v="2024-05-18T00:00:00"/>
    <d v="2024-06-03T00:00:00"/>
    <s v="ND"/>
    <s v="ND"/>
  </r>
  <r>
    <n v="65470"/>
    <s v="CNLM"/>
    <s v="2024 Panoche Creek Preserve - Dollar Marsh West"/>
    <s v="2024 Panoche Creek Marsh West"/>
    <x v="17"/>
    <d v="2024-04-15T00:00:00"/>
    <d v="2024-08-01T00:00:00"/>
    <s v="Simple"/>
    <m/>
    <s v="2024 Panoche Creek Marsh West p1"/>
    <x v="1"/>
    <s v="Cattails, bulrush"/>
    <s v="NEED"/>
    <s v="pre"/>
    <d v="2024-04-23T00:00:00"/>
    <d v="2024-05-05T00:00:00"/>
    <d v="2024-05-13T00:00:00"/>
    <d v="2024-06-01T00:00:00"/>
    <s v="ND"/>
    <s v="ND"/>
  </r>
  <r>
    <n v="63656"/>
    <s v="Rancho Jamul"/>
    <s v="2024 Rancho Jamul - Main Pond 1"/>
    <s v="2024 Rancho Jamul - Main Pond 1"/>
    <x v="0"/>
    <d v="2024-03-26T00:00:00"/>
    <d v="2024-08-07T00:00:00"/>
    <s v="Complex"/>
    <s v="Asynchronous, Sequential"/>
    <s v="2024 Rancho Jamul - Main Pond 1 p1"/>
    <x v="1"/>
    <s v="NEED"/>
    <s v="NEED"/>
    <s v="pre"/>
    <s v="ND"/>
    <s v="ND"/>
    <s v="ND"/>
    <d v="2024-05-28T00:00:00"/>
    <s v="ND"/>
    <s v="ND"/>
  </r>
  <r>
    <n v="63656"/>
    <s v="Rancho Jamul"/>
    <s v="2024 Rancho Jamul - Main Pond 1"/>
    <s v="2024 Rancho Jamul - Main Pond 1"/>
    <x v="0"/>
    <d v="2024-03-26T00:00:00"/>
    <d v="2024-08-07T00:00:00"/>
    <s v="Complex"/>
    <s v="Asynchronous, Sequential"/>
    <s v="2024 Rancho Jamul - Main Pond 1 p2"/>
    <x v="1"/>
    <s v="NEED"/>
    <s v="NEED"/>
    <d v="2024-05-01T00:00:00"/>
    <d v="2024-05-16T00:00:00"/>
    <d v="2024-05-28T00:00:00"/>
    <d v="2024-06-09T00:00:00"/>
    <d v="2024-08-01T00:00:00"/>
    <s v="ND"/>
    <s v="ND"/>
  </r>
  <r>
    <n v="63657"/>
    <s v="Rancho Jamul"/>
    <s v="2024 Rancho Jamul - Main Pond 2"/>
    <s v="2024 Rancho Jamul - Main Pond 2"/>
    <x v="18"/>
    <d v="2024-03-26T00:00:00"/>
    <d v="2024-07-06T00:00:00"/>
    <s v="Complex"/>
    <s v="Asynchronous, Sequential"/>
    <s v="2024 Rancho Jamul - Main Pond 2 p1"/>
    <x v="1"/>
    <s v="NEED"/>
    <s v="NEED"/>
    <s v="pre"/>
    <s v="ND"/>
    <s v="ND"/>
    <s v="ND"/>
    <s v="ND"/>
    <s v="ND"/>
    <s v="ND"/>
  </r>
  <r>
    <n v="63657"/>
    <s v="Rancho Jamul"/>
    <s v="2024 Rancho Jamul - Main Pond 2"/>
    <s v="2024 Rancho Jamul - Main Pond 2"/>
    <x v="18"/>
    <d v="2024-03-26T00:00:00"/>
    <d v="2024-07-06T00:00:00"/>
    <s v="Complex"/>
    <s v="Asynchronous, Sequential"/>
    <s v="2024 Rancho Jamul - Main Pond 2 p2"/>
    <x v="1"/>
    <s v="NEED"/>
    <s v="NEED"/>
    <d v="2024-05-01T00:00:00"/>
    <d v="2024-05-14T00:00:00"/>
    <d v="2024-05-26T00:00:00"/>
    <d v="2024-06-09T00:00:00"/>
    <s v="post"/>
    <s v="ND"/>
    <s v="ND"/>
  </r>
  <r>
    <n v="63468"/>
    <s v="Rancho Jamul"/>
    <s v="2024 Rancho Jamul - North Pond"/>
    <s v="2024 Rancho Jamul - North Pond"/>
    <x v="0"/>
    <d v="2024-03-27T00:00:00"/>
    <d v="2024-06-22T00:00:00"/>
    <s v="No Colony"/>
    <m/>
    <s v="2024 Rancho Jamul - North Pond p1"/>
    <x v="2"/>
    <s v="NEED"/>
    <s v="NEED"/>
    <s v="ND"/>
    <s v="ND"/>
    <s v="ND"/>
    <s v="ND"/>
    <s v="ND"/>
    <s v="ND"/>
    <s v="ND"/>
  </r>
  <r>
    <n v="63089"/>
    <s v="San Jacinto Wildlife Area"/>
    <s v="2024 SJWA Thistle NW of Bridge Street Pond"/>
    <s v="2024 San Jacinto Wildlife Area - Thistle Patch NW of Bridge Street Pond"/>
    <x v="0"/>
    <d v="2024-06-05T00:00:00"/>
    <d v="2024-06-22T00:00:00"/>
    <s v="Simple"/>
    <m/>
    <s v="2024 San Jacinto Wildlife Area - Thistle Patch NW of Bridge Street Pond p1"/>
    <x v="1"/>
    <s v="Milk thistle"/>
    <n v="80"/>
    <s v="pre"/>
    <s v="pre"/>
    <s v="pre"/>
    <s v="~6/13/2024"/>
    <s v="~6/20/2024"/>
    <s v="ND"/>
    <s v="ND"/>
  </r>
  <r>
    <n v="63049"/>
    <s v="Monterey"/>
    <s v="2024 Ohlone - Santa Lucia Preserve"/>
    <s v="2024 Santa Lucia Preserve - Ohlone Pond"/>
    <x v="0"/>
    <d v="2024-04-10T00:00:00"/>
    <d v="2024-07-01T00:00:00"/>
    <s v="Asynchronous"/>
    <m/>
    <s v="2024 Santa Lucia Preserve - Ohlone Pond p1"/>
    <x v="1"/>
    <s v="NEED"/>
    <s v="NEED"/>
    <s v="pre"/>
    <d v="2024-04-20T00:00:00"/>
    <d v="2024-05-02T00:00:00"/>
    <d v="2024-05-18T00:00:00"/>
    <s v="post"/>
    <s v="ND"/>
    <s v="ND"/>
  </r>
  <r>
    <n v="63738"/>
    <s v="Sedgwick"/>
    <s v="2024 Sedgwick"/>
    <s v="2024 Sedgwick Reserve"/>
    <x v="0"/>
    <d v="2024-04-04T00:00:00"/>
    <d v="2024-08-04T00:00:00"/>
    <s v="Asynchronous"/>
    <m/>
    <s v="2024 Sedgwick Reserve p1"/>
    <x v="1"/>
    <s v="Bulrush, cattails"/>
    <n v="300"/>
    <s v="pre"/>
    <d v="2024-04-08T00:00:00"/>
    <d v="2024-04-20T00:00:00"/>
    <d v="2024-05-08T00:00:00"/>
    <d v="2024-06-19T00:00:00"/>
    <s v="ND"/>
    <s v="ND"/>
  </r>
  <r>
    <n v="63116"/>
    <s v="Washington"/>
    <s v="2024 WA Harder Spring"/>
    <s v="2024 Washington State - Harder Spring"/>
    <x v="0"/>
    <d v="2024-03-25T00:00:00"/>
    <d v="2024-08-03T00:00:00"/>
    <s v="Sequential"/>
    <m/>
    <s v="2024 Washington State - Harder Spring p1"/>
    <x v="1"/>
    <s v="Bulrush, cattails, common reed"/>
    <n v="100"/>
    <s v="ND"/>
    <d v="2024-05-26T00:00:00"/>
    <d v="2024-06-07T00:00:00"/>
    <s v="~6/22/2024"/>
    <s v="ND"/>
    <s v="ND"/>
    <s v="ND"/>
  </r>
  <r>
    <n v="63116"/>
    <s v="Washington"/>
    <s v="2024 WA Harder Spring"/>
    <s v="2024 Washington State - Harder Spring"/>
    <x v="0"/>
    <d v="2024-03-25T00:00:00"/>
    <d v="2024-08-03T00:00:00"/>
    <s v="Sequential"/>
    <m/>
    <s v="2024 Washington State - Harder Spring p2"/>
    <x v="1"/>
    <s v="Bulrush, cattails, common reed"/>
    <n v="100"/>
    <s v="ND"/>
    <d v="2024-07-06T00:00:00"/>
    <d v="2024-07-18T00:00:00"/>
    <d v="2024-07-27T00:00:00"/>
    <s v="post"/>
    <s v="ND"/>
    <s v="ND"/>
  </r>
  <r>
    <n v="63465"/>
    <s v="Washington"/>
    <s v="2024 WA McCain Pond"/>
    <s v="2024 Washington State - McCain Wetlands"/>
    <x v="0"/>
    <d v="2024-03-29T00:00:00"/>
    <d v="2024-08-09T00:00:00"/>
    <s v="Simple"/>
    <m/>
    <s v="2024 Washington State - McCain Wetlands p1"/>
    <x v="3"/>
    <s v="Cattails, common reed"/>
    <n v="600"/>
    <s v="ND"/>
    <d v="2024-04-28T00:00:00"/>
    <d v="2024-05-10T00:00:00"/>
    <s v="~5/24/2024"/>
    <d v="2024-06-03T00:00:00"/>
    <s v="ND"/>
    <d v="2024-05-15T00:00:00"/>
  </r>
  <r>
    <n v="65481"/>
    <s v="Wind Wolves Preserve"/>
    <s v="2024 Wind Wolves Preserve - Los Lobos fix lat lon"/>
    <s v="2024 Wind Wolves Preserve - Los Lobos"/>
    <x v="0"/>
    <d v="2024-04-30T00:00:00"/>
    <d v="2024-09-11T00:00:00"/>
    <s v="Asynchronous"/>
    <m/>
    <s v="2024 Wind Wolves Preserve - Los Lobos p1"/>
    <x v="1"/>
    <s v="NEED"/>
    <s v="NEED"/>
    <s v="pre"/>
    <s v="pre"/>
    <s v="pre"/>
    <s v="pre"/>
    <d v="2024-06-19T00:00:00"/>
    <s v="ND"/>
    <s v="ND"/>
  </r>
  <r>
    <n v="65482"/>
    <s v="Wind Wolves Preserve"/>
    <s v="2024 Wind Wolves Preserve - Pleitito"/>
    <s v="2024 Wind Wolves Preserve - Pleitito Creek"/>
    <x v="0"/>
    <d v="2024-04-26T00:00:00"/>
    <d v="2024-08-11T00:00:00"/>
    <s v="Complex"/>
    <s v="Asynchronous, Sequential"/>
    <s v="2024 Wind Wolves Preserve - Pleitito Creek p1"/>
    <x v="1"/>
    <s v="NEED"/>
    <s v="NEED"/>
    <s v="pre"/>
    <s v="pre"/>
    <s v="pre"/>
    <d v="2024-04-30T00:00:00"/>
    <s v="ND"/>
    <s v="ND"/>
    <s v="ND"/>
  </r>
  <r>
    <n v="65482"/>
    <s v="Wind Wolves Preserve"/>
    <s v="2024 Wind Wolves Preserve - Pleitito"/>
    <s v="2024 Wind Wolves Preserve - Pleitito Creek"/>
    <x v="0"/>
    <d v="2024-04-26T00:00:00"/>
    <d v="2024-08-11T00:00:00"/>
    <s v="Complex"/>
    <s v="Asynchronous, Sequential"/>
    <s v="2024 Wind Wolves Preserve - Pleitito Creek p2"/>
    <x v="1"/>
    <s v="NEED"/>
    <s v="NEED"/>
    <s v="ND"/>
    <d v="2024-05-13T00:00:00"/>
    <d v="2024-05-25T00:00:00"/>
    <d v="2024-06-11T00:00:00"/>
    <d v="2024-07-03T00:00:00"/>
    <s v="ND"/>
    <s v="ND"/>
  </r>
  <r>
    <n v="65483"/>
    <s v="Wind Wolves Preserve"/>
    <s v="2024 Wind Wolves Preserve - Santiago"/>
    <s v="2024 Wind Wolves Preserve - Santiago Wetlands"/>
    <x v="0"/>
    <d v="2024-04-30T00:00:00"/>
    <d v="2024-08-31T00:00:00"/>
    <s v="Asynchronous"/>
    <m/>
    <s v="2024 Wind Wolves Preserve - Santiago Wetlands p1"/>
    <x v="1"/>
    <s v="NEED"/>
    <s v="NEED"/>
    <s v="pre"/>
    <s v="pre"/>
    <s v="pre"/>
    <d v="2024-05-04T00:00:00"/>
    <d v="2024-07-08T00:00:00"/>
    <s v="ND"/>
    <s v="ND"/>
  </r>
  <r>
    <n v="65480"/>
    <s v="Wind Wolves Preserve"/>
    <s v="2024 Wind Wolves Preserve - Tevis fix lat lon"/>
    <s v="2024 Wind Wolves Preserve - Tevis"/>
    <x v="0"/>
    <d v="2024-04-30T00:00:00"/>
    <d v="2024-09-24T00:00:00"/>
    <s v="Simple"/>
    <m/>
    <s v="2024 Wind Wolves Preserve - Tevis p1"/>
    <x v="1"/>
    <s v="NEED"/>
    <s v="NEED"/>
    <s v="pre"/>
    <s v="pre"/>
    <s v="pre"/>
    <d v="2024-05-17T00:00:00"/>
    <d v="2024-06-09T00:00:00"/>
    <s v="ND"/>
    <s v="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8D3E9-B382-4760-971E-BCA76D7425C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0">
    <pivotField showAll="0"/>
    <pivotField showAll="0"/>
    <pivotField showAll="0"/>
    <pivotField showAll="0"/>
    <pivotField axis="axisPage" showAll="0">
      <items count="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axis="axisRow" dataField="1" showAll="0">
      <items count="7">
        <item x="0"/>
        <item x="2"/>
        <item x="5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4" item="18" hier="-1"/>
  </pageFields>
  <dataFields count="1">
    <dataField name="Count of Outcom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5C29-07C4-4B20-96A2-0AEAD7343AF1}">
  <dimension ref="A1:H10"/>
  <sheetViews>
    <sheetView tabSelected="1" workbookViewId="0">
      <selection activeCell="B4" activeCellId="1" sqref="B7 B4"/>
    </sheetView>
  </sheetViews>
  <sheetFormatPr defaultRowHeight="14.25" x14ac:dyDescent="0.45"/>
  <cols>
    <col min="1" max="1" width="16.265625" bestFit="1" customWidth="1"/>
    <col min="2" max="2" width="15.19921875" bestFit="1" customWidth="1"/>
  </cols>
  <sheetData>
    <row r="1" spans="1:8" x14ac:dyDescent="0.45">
      <c r="A1" s="3" t="s">
        <v>4</v>
      </c>
      <c r="B1" t="s">
        <v>666</v>
      </c>
    </row>
    <row r="3" spans="1:8" x14ac:dyDescent="0.45">
      <c r="A3" s="3" t="s">
        <v>659</v>
      </c>
      <c r="B3" t="s">
        <v>661</v>
      </c>
    </row>
    <row r="4" spans="1:8" x14ac:dyDescent="0.45">
      <c r="A4" s="4" t="s">
        <v>24</v>
      </c>
      <c r="B4" s="5">
        <v>11</v>
      </c>
      <c r="D4">
        <v>188</v>
      </c>
      <c r="G4" t="s">
        <v>662</v>
      </c>
      <c r="H4" t="s">
        <v>664</v>
      </c>
    </row>
    <row r="5" spans="1:8" x14ac:dyDescent="0.45">
      <c r="A5" s="4" t="s">
        <v>32</v>
      </c>
      <c r="B5" s="5">
        <v>20</v>
      </c>
      <c r="D5">
        <f>20+14</f>
        <v>34</v>
      </c>
      <c r="G5" t="s">
        <v>663</v>
      </c>
      <c r="H5" t="s">
        <v>665</v>
      </c>
    </row>
    <row r="6" spans="1:8" x14ac:dyDescent="0.45">
      <c r="A6" s="4" t="s">
        <v>192</v>
      </c>
      <c r="B6" s="5">
        <v>14</v>
      </c>
      <c r="D6">
        <f>D4-D5</f>
        <v>154</v>
      </c>
      <c r="G6">
        <f>157-20-14</f>
        <v>123</v>
      </c>
      <c r="H6" t="s">
        <v>667</v>
      </c>
    </row>
    <row r="7" spans="1:8" x14ac:dyDescent="0.45">
      <c r="A7" s="4" t="s">
        <v>75</v>
      </c>
      <c r="B7" s="5">
        <v>20</v>
      </c>
      <c r="G7">
        <f>11+20+114+9</f>
        <v>154</v>
      </c>
      <c r="H7" t="s">
        <v>668</v>
      </c>
    </row>
    <row r="8" spans="1:8" x14ac:dyDescent="0.45">
      <c r="A8" s="4" t="s">
        <v>28</v>
      </c>
      <c r="B8" s="5">
        <v>114</v>
      </c>
    </row>
    <row r="9" spans="1:8" x14ac:dyDescent="0.45">
      <c r="A9" s="4" t="s">
        <v>45</v>
      </c>
      <c r="B9" s="5">
        <v>9</v>
      </c>
      <c r="D9">
        <f>11+20+114+9</f>
        <v>154</v>
      </c>
    </row>
    <row r="10" spans="1:8" x14ac:dyDescent="0.45">
      <c r="A10" s="4" t="s">
        <v>660</v>
      </c>
      <c r="B10" s="5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6743-2E5A-427D-BF20-DA49B8503480}">
  <sheetPr filterMode="1"/>
  <dimension ref="A1:U212"/>
  <sheetViews>
    <sheetView topLeftCell="D1" workbookViewId="0">
      <selection activeCell="K213" sqref="K213"/>
    </sheetView>
  </sheetViews>
  <sheetFormatPr defaultRowHeight="14.25" x14ac:dyDescent="0.45"/>
  <cols>
    <col min="3" max="3" width="49.265625" bestFit="1" customWidth="1"/>
    <col min="10" max="10" width="58" bestFit="1" customWidth="1"/>
    <col min="11" max="11" width="16.597656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45">
      <c r="A2">
        <v>2059</v>
      </c>
      <c r="B2" t="s">
        <v>20</v>
      </c>
      <c r="C2" t="s">
        <v>21</v>
      </c>
      <c r="D2" t="s">
        <v>21</v>
      </c>
      <c r="F2" s="1">
        <v>42796</v>
      </c>
      <c r="G2" s="1">
        <v>42940</v>
      </c>
      <c r="H2" t="s">
        <v>22</v>
      </c>
      <c r="J2" t="s">
        <v>23</v>
      </c>
      <c r="K2" t="s">
        <v>669</v>
      </c>
      <c r="L2" t="s">
        <v>24</v>
      </c>
      <c r="M2" t="s">
        <v>25</v>
      </c>
      <c r="N2">
        <v>800</v>
      </c>
      <c r="O2" s="1">
        <v>42801</v>
      </c>
      <c r="P2" s="1">
        <v>42844</v>
      </c>
      <c r="Q2" s="1">
        <v>42856</v>
      </c>
      <c r="R2" t="s">
        <v>26</v>
      </c>
      <c r="S2" t="s">
        <v>26</v>
      </c>
      <c r="T2" s="1">
        <v>42858</v>
      </c>
      <c r="U2" t="s">
        <v>26</v>
      </c>
    </row>
    <row r="3" spans="1:21" hidden="1" x14ac:dyDescent="0.45">
      <c r="A3">
        <v>2059</v>
      </c>
      <c r="B3" t="s">
        <v>20</v>
      </c>
      <c r="C3" t="s">
        <v>21</v>
      </c>
      <c r="D3" t="s">
        <v>21</v>
      </c>
      <c r="F3" s="1">
        <v>42796</v>
      </c>
      <c r="G3" s="1">
        <v>42940</v>
      </c>
      <c r="H3" t="s">
        <v>22</v>
      </c>
      <c r="J3" t="s">
        <v>27</v>
      </c>
      <c r="L3" t="s">
        <v>28</v>
      </c>
      <c r="M3" t="s">
        <v>25</v>
      </c>
      <c r="N3">
        <v>800</v>
      </c>
      <c r="O3" s="1">
        <v>42863</v>
      </c>
      <c r="P3" s="1">
        <v>42873</v>
      </c>
      <c r="Q3" s="1">
        <v>42885</v>
      </c>
      <c r="R3" s="1">
        <v>42898</v>
      </c>
      <c r="S3" s="1">
        <v>42912</v>
      </c>
      <c r="T3" t="s">
        <v>26</v>
      </c>
      <c r="U3" t="s">
        <v>26</v>
      </c>
    </row>
    <row r="4" spans="1:21" hidden="1" x14ac:dyDescent="0.45">
      <c r="A4">
        <v>2059</v>
      </c>
      <c r="B4" t="s">
        <v>20</v>
      </c>
      <c r="C4" t="s">
        <v>21</v>
      </c>
      <c r="D4" t="s">
        <v>21</v>
      </c>
      <c r="F4" s="1">
        <v>42796</v>
      </c>
      <c r="G4" s="1">
        <v>42940</v>
      </c>
      <c r="H4" t="s">
        <v>22</v>
      </c>
      <c r="J4" t="s">
        <v>29</v>
      </c>
      <c r="L4" t="s">
        <v>28</v>
      </c>
      <c r="M4" t="s">
        <v>25</v>
      </c>
      <c r="N4">
        <v>800</v>
      </c>
      <c r="O4" s="1">
        <v>42888</v>
      </c>
      <c r="P4" s="1">
        <v>42902</v>
      </c>
      <c r="Q4" s="1">
        <v>42914</v>
      </c>
      <c r="R4" t="s">
        <v>26</v>
      </c>
      <c r="S4" t="s">
        <v>26</v>
      </c>
      <c r="T4" t="s">
        <v>26</v>
      </c>
      <c r="U4" t="s">
        <v>26</v>
      </c>
    </row>
    <row r="5" spans="1:21" hidden="1" x14ac:dyDescent="0.45">
      <c r="A5">
        <v>3150</v>
      </c>
      <c r="B5" t="s">
        <v>30</v>
      </c>
      <c r="C5" t="s">
        <v>31</v>
      </c>
      <c r="D5" t="s">
        <v>31</v>
      </c>
      <c r="F5" s="1">
        <v>43212</v>
      </c>
      <c r="G5" s="1">
        <v>43239</v>
      </c>
      <c r="H5" t="s">
        <v>32</v>
      </c>
      <c r="J5" t="s">
        <v>33</v>
      </c>
      <c r="L5" t="s">
        <v>32</v>
      </c>
      <c r="M5" t="s">
        <v>34</v>
      </c>
      <c r="N5">
        <v>2000</v>
      </c>
      <c r="O5" t="s">
        <v>35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</row>
    <row r="6" spans="1:21" hidden="1" x14ac:dyDescent="0.45">
      <c r="A6">
        <v>3366</v>
      </c>
      <c r="B6" t="s">
        <v>36</v>
      </c>
      <c r="C6" t="s">
        <v>42</v>
      </c>
      <c r="D6" t="s">
        <v>43</v>
      </c>
      <c r="E6" t="s">
        <v>44</v>
      </c>
      <c r="F6" s="1">
        <v>43277</v>
      </c>
      <c r="G6" s="1">
        <v>43294</v>
      </c>
      <c r="H6" t="s">
        <v>45</v>
      </c>
      <c r="J6" t="s">
        <v>46</v>
      </c>
      <c r="L6" t="s">
        <v>28</v>
      </c>
      <c r="M6" t="s">
        <v>41</v>
      </c>
      <c r="N6">
        <v>1000</v>
      </c>
      <c r="O6" t="s">
        <v>35</v>
      </c>
      <c r="P6" t="s">
        <v>35</v>
      </c>
      <c r="Q6" t="s">
        <v>35</v>
      </c>
      <c r="R6" t="s">
        <v>35</v>
      </c>
      <c r="S6" t="s">
        <v>47</v>
      </c>
      <c r="T6" t="s">
        <v>26</v>
      </c>
      <c r="U6" t="s">
        <v>26</v>
      </c>
    </row>
    <row r="7" spans="1:21" hidden="1" x14ac:dyDescent="0.45">
      <c r="A7">
        <v>3348</v>
      </c>
      <c r="B7" t="s">
        <v>36</v>
      </c>
      <c r="C7" t="s">
        <v>37</v>
      </c>
      <c r="D7" t="s">
        <v>38</v>
      </c>
      <c r="F7" s="1">
        <v>43277</v>
      </c>
      <c r="G7" s="1">
        <v>43304</v>
      </c>
      <c r="H7" t="s">
        <v>39</v>
      </c>
      <c r="J7" t="s">
        <v>40</v>
      </c>
      <c r="L7" t="s">
        <v>28</v>
      </c>
      <c r="M7" t="s">
        <v>41</v>
      </c>
      <c r="N7">
        <v>1000</v>
      </c>
      <c r="O7" t="s">
        <v>35</v>
      </c>
      <c r="P7" t="s">
        <v>35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</row>
    <row r="8" spans="1:21" hidden="1" x14ac:dyDescent="0.45">
      <c r="A8">
        <v>3281</v>
      </c>
      <c r="B8" t="s">
        <v>48</v>
      </c>
      <c r="C8" t="s">
        <v>49</v>
      </c>
      <c r="D8" t="s">
        <v>49</v>
      </c>
      <c r="F8" s="1">
        <v>43224</v>
      </c>
      <c r="G8" s="1">
        <v>43255</v>
      </c>
      <c r="H8" t="s">
        <v>45</v>
      </c>
      <c r="J8" t="s">
        <v>50</v>
      </c>
      <c r="K8" t="s">
        <v>669</v>
      </c>
      <c r="L8" t="s">
        <v>24</v>
      </c>
      <c r="M8" t="s">
        <v>51</v>
      </c>
      <c r="N8">
        <v>3000</v>
      </c>
      <c r="O8" t="s">
        <v>35</v>
      </c>
      <c r="P8" s="1">
        <v>43225</v>
      </c>
      <c r="Q8" s="1">
        <v>43237</v>
      </c>
      <c r="R8" t="s">
        <v>26</v>
      </c>
      <c r="S8" t="s">
        <v>26</v>
      </c>
      <c r="T8" s="1">
        <v>43242</v>
      </c>
      <c r="U8" t="s">
        <v>26</v>
      </c>
    </row>
    <row r="9" spans="1:21" hidden="1" x14ac:dyDescent="0.45">
      <c r="A9">
        <v>2719</v>
      </c>
      <c r="B9" t="s">
        <v>20</v>
      </c>
      <c r="C9" t="s">
        <v>52</v>
      </c>
      <c r="D9" t="s">
        <v>52</v>
      </c>
      <c r="F9" s="1">
        <v>43140</v>
      </c>
      <c r="G9" s="1">
        <v>43277</v>
      </c>
      <c r="H9" t="s">
        <v>53</v>
      </c>
      <c r="J9" t="s">
        <v>54</v>
      </c>
      <c r="L9" t="s">
        <v>28</v>
      </c>
      <c r="M9" t="s">
        <v>25</v>
      </c>
      <c r="N9">
        <v>2000</v>
      </c>
      <c r="O9" s="1">
        <v>43224</v>
      </c>
      <c r="P9" s="1">
        <v>43234</v>
      </c>
      <c r="Q9" s="1">
        <v>43246</v>
      </c>
      <c r="R9" s="1">
        <v>43262</v>
      </c>
      <c r="S9" t="s">
        <v>47</v>
      </c>
      <c r="T9" t="s">
        <v>26</v>
      </c>
      <c r="U9" t="s">
        <v>26</v>
      </c>
    </row>
    <row r="10" spans="1:21" hidden="1" x14ac:dyDescent="0.45">
      <c r="A10">
        <v>3682</v>
      </c>
      <c r="B10" t="s">
        <v>55</v>
      </c>
      <c r="C10" t="s">
        <v>56</v>
      </c>
      <c r="D10" t="s">
        <v>57</v>
      </c>
      <c r="F10" s="1">
        <v>43200</v>
      </c>
      <c r="G10" s="1">
        <v>43217</v>
      </c>
      <c r="H10" t="s">
        <v>45</v>
      </c>
      <c r="J10" t="s">
        <v>58</v>
      </c>
      <c r="K10" t="s">
        <v>670</v>
      </c>
      <c r="L10" t="s">
        <v>24</v>
      </c>
      <c r="M10" t="s">
        <v>25</v>
      </c>
      <c r="N10">
        <v>30000</v>
      </c>
      <c r="O10" t="s">
        <v>35</v>
      </c>
      <c r="P10" t="s">
        <v>26</v>
      </c>
      <c r="Q10" t="s">
        <v>26</v>
      </c>
      <c r="R10" t="s">
        <v>26</v>
      </c>
      <c r="S10" t="s">
        <v>26</v>
      </c>
      <c r="T10" s="1">
        <v>43212</v>
      </c>
      <c r="U10" t="s">
        <v>26</v>
      </c>
    </row>
    <row r="11" spans="1:21" hidden="1" x14ac:dyDescent="0.45">
      <c r="A11">
        <v>3417</v>
      </c>
      <c r="B11" t="s">
        <v>55</v>
      </c>
      <c r="C11" t="s">
        <v>59</v>
      </c>
      <c r="D11" t="s">
        <v>60</v>
      </c>
      <c r="E11" t="s">
        <v>61</v>
      </c>
      <c r="F11" s="1">
        <v>43192</v>
      </c>
      <c r="G11" s="1">
        <v>43200</v>
      </c>
      <c r="H11" t="s">
        <v>32</v>
      </c>
      <c r="J11" t="s">
        <v>62</v>
      </c>
      <c r="L11" t="s">
        <v>32</v>
      </c>
      <c r="M11" t="s">
        <v>25</v>
      </c>
      <c r="N11">
        <v>30000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</row>
    <row r="12" spans="1:21" hidden="1" x14ac:dyDescent="0.45">
      <c r="A12">
        <v>82621</v>
      </c>
      <c r="B12" t="s">
        <v>55</v>
      </c>
      <c r="C12" t="s">
        <v>63</v>
      </c>
      <c r="D12" t="s">
        <v>64</v>
      </c>
      <c r="F12" s="1">
        <v>43192</v>
      </c>
      <c r="G12" s="1">
        <v>43221</v>
      </c>
      <c r="H12" t="s">
        <v>45</v>
      </c>
      <c r="J12" t="s">
        <v>65</v>
      </c>
      <c r="K12" t="s">
        <v>670</v>
      </c>
      <c r="L12" t="s">
        <v>24</v>
      </c>
      <c r="M12" t="s">
        <v>25</v>
      </c>
      <c r="N12">
        <v>30000</v>
      </c>
      <c r="O12" s="1">
        <v>43200</v>
      </c>
      <c r="P12" t="s">
        <v>66</v>
      </c>
      <c r="Q12" t="s">
        <v>67</v>
      </c>
      <c r="R12" t="s">
        <v>26</v>
      </c>
      <c r="S12" t="s">
        <v>26</v>
      </c>
      <c r="T12" s="1">
        <v>43212</v>
      </c>
      <c r="U12" t="s">
        <v>26</v>
      </c>
    </row>
    <row r="13" spans="1:21" hidden="1" x14ac:dyDescent="0.45">
      <c r="A13">
        <v>5642</v>
      </c>
      <c r="B13" t="s">
        <v>68</v>
      </c>
      <c r="C13" t="s">
        <v>69</v>
      </c>
      <c r="D13" t="s">
        <v>70</v>
      </c>
      <c r="F13" s="1">
        <v>43612</v>
      </c>
      <c r="G13" s="1">
        <v>43689</v>
      </c>
      <c r="H13" t="s">
        <v>53</v>
      </c>
      <c r="J13" t="s">
        <v>71</v>
      </c>
      <c r="L13" t="s">
        <v>28</v>
      </c>
      <c r="M13" t="s">
        <v>25</v>
      </c>
      <c r="N13">
        <v>20000</v>
      </c>
      <c r="O13" t="s">
        <v>35</v>
      </c>
      <c r="P13" t="s">
        <v>26</v>
      </c>
      <c r="Q13" t="s">
        <v>26</v>
      </c>
      <c r="R13" s="1">
        <v>43643</v>
      </c>
      <c r="S13" s="1">
        <v>43668</v>
      </c>
      <c r="T13" t="s">
        <v>26</v>
      </c>
      <c r="U13" t="s">
        <v>26</v>
      </c>
    </row>
    <row r="14" spans="1:21" x14ac:dyDescent="0.45">
      <c r="A14">
        <v>5643</v>
      </c>
      <c r="B14" t="s">
        <v>68</v>
      </c>
      <c r="C14" t="s">
        <v>72</v>
      </c>
      <c r="D14" t="s">
        <v>73</v>
      </c>
      <c r="F14" s="1">
        <v>43606</v>
      </c>
      <c r="G14" s="1">
        <v>43634</v>
      </c>
      <c r="H14" t="s">
        <v>53</v>
      </c>
      <c r="J14" t="s">
        <v>74</v>
      </c>
      <c r="K14" t="s">
        <v>671</v>
      </c>
      <c r="L14" t="s">
        <v>75</v>
      </c>
      <c r="M14" t="s">
        <v>25</v>
      </c>
      <c r="N14">
        <v>60</v>
      </c>
      <c r="O14" t="s">
        <v>35</v>
      </c>
      <c r="P14" s="1">
        <v>43602</v>
      </c>
      <c r="Q14" s="1">
        <v>43614</v>
      </c>
      <c r="R14" t="s">
        <v>76</v>
      </c>
      <c r="S14" t="s">
        <v>77</v>
      </c>
      <c r="T14" t="s">
        <v>26</v>
      </c>
      <c r="U14" s="1">
        <v>43611</v>
      </c>
    </row>
    <row r="15" spans="1:21" hidden="1" x14ac:dyDescent="0.45">
      <c r="A15">
        <v>4455</v>
      </c>
      <c r="B15" t="s">
        <v>20</v>
      </c>
      <c r="C15" t="s">
        <v>78</v>
      </c>
      <c r="D15" t="s">
        <v>79</v>
      </c>
      <c r="F15" s="1">
        <v>43541</v>
      </c>
      <c r="G15" s="1">
        <v>43653</v>
      </c>
      <c r="H15" t="s">
        <v>22</v>
      </c>
      <c r="J15" t="s">
        <v>80</v>
      </c>
      <c r="L15" t="s">
        <v>28</v>
      </c>
      <c r="M15" t="s">
        <v>41</v>
      </c>
      <c r="N15">
        <v>1000</v>
      </c>
      <c r="O15" s="1">
        <v>43550</v>
      </c>
      <c r="P15" s="1">
        <v>43583</v>
      </c>
      <c r="Q15" s="1">
        <v>43595</v>
      </c>
      <c r="R15" s="1">
        <v>43608</v>
      </c>
      <c r="S15" s="1">
        <v>43618</v>
      </c>
      <c r="T15" t="s">
        <v>26</v>
      </c>
      <c r="U15" t="s">
        <v>26</v>
      </c>
    </row>
    <row r="16" spans="1:21" x14ac:dyDescent="0.45">
      <c r="A16">
        <v>4455</v>
      </c>
      <c r="B16" t="s">
        <v>20</v>
      </c>
      <c r="C16" t="s">
        <v>78</v>
      </c>
      <c r="D16" t="s">
        <v>79</v>
      </c>
      <c r="F16" s="1">
        <v>43541</v>
      </c>
      <c r="G16" s="1">
        <v>43653</v>
      </c>
      <c r="H16" t="s">
        <v>22</v>
      </c>
      <c r="J16" t="s">
        <v>81</v>
      </c>
      <c r="K16" t="s">
        <v>671</v>
      </c>
      <c r="L16" t="s">
        <v>24</v>
      </c>
      <c r="M16" t="s">
        <v>41</v>
      </c>
      <c r="N16">
        <v>1000</v>
      </c>
      <c r="O16" s="1">
        <v>43604</v>
      </c>
      <c r="P16" s="1">
        <v>43611</v>
      </c>
      <c r="Q16" t="s">
        <v>82</v>
      </c>
      <c r="R16" t="s">
        <v>26</v>
      </c>
      <c r="S16" t="s">
        <v>26</v>
      </c>
      <c r="T16" s="1">
        <v>43616</v>
      </c>
      <c r="U16" t="s">
        <v>26</v>
      </c>
    </row>
    <row r="17" spans="1:21" hidden="1" x14ac:dyDescent="0.45">
      <c r="A17">
        <v>4456</v>
      </c>
      <c r="B17" t="s">
        <v>20</v>
      </c>
      <c r="C17" t="s">
        <v>83</v>
      </c>
      <c r="D17" t="s">
        <v>83</v>
      </c>
      <c r="F17" s="1">
        <v>43563</v>
      </c>
      <c r="G17" s="1">
        <v>43653</v>
      </c>
      <c r="H17" t="s">
        <v>22</v>
      </c>
      <c r="J17" t="s">
        <v>84</v>
      </c>
      <c r="L17" t="s">
        <v>28</v>
      </c>
      <c r="M17" t="s">
        <v>25</v>
      </c>
      <c r="N17">
        <v>4000</v>
      </c>
      <c r="O17" s="1">
        <v>43563</v>
      </c>
      <c r="P17" s="1">
        <v>43570</v>
      </c>
      <c r="Q17" s="1">
        <v>43582</v>
      </c>
      <c r="R17" s="1">
        <v>43596</v>
      </c>
      <c r="S17" s="1">
        <v>43615</v>
      </c>
      <c r="T17" t="s">
        <v>26</v>
      </c>
      <c r="U17" t="s">
        <v>26</v>
      </c>
    </row>
    <row r="18" spans="1:21" x14ac:dyDescent="0.45">
      <c r="A18">
        <v>4456</v>
      </c>
      <c r="B18" t="s">
        <v>20</v>
      </c>
      <c r="C18" t="s">
        <v>83</v>
      </c>
      <c r="D18" t="s">
        <v>83</v>
      </c>
      <c r="F18" s="1">
        <v>43563</v>
      </c>
      <c r="G18" s="1">
        <v>43653</v>
      </c>
      <c r="H18" t="s">
        <v>22</v>
      </c>
      <c r="J18" t="s">
        <v>85</v>
      </c>
      <c r="K18" t="s">
        <v>671</v>
      </c>
      <c r="L18" t="s">
        <v>75</v>
      </c>
      <c r="M18" t="s">
        <v>25</v>
      </c>
      <c r="N18">
        <v>4000</v>
      </c>
      <c r="O18" s="1">
        <v>43604</v>
      </c>
      <c r="P18" s="1">
        <v>43613</v>
      </c>
      <c r="Q18" s="1">
        <v>43625</v>
      </c>
      <c r="R18" s="1">
        <v>43639</v>
      </c>
      <c r="S18" s="1">
        <v>43649</v>
      </c>
      <c r="T18" t="s">
        <v>26</v>
      </c>
      <c r="U18" s="1">
        <v>43629</v>
      </c>
    </row>
    <row r="19" spans="1:21" hidden="1" x14ac:dyDescent="0.45">
      <c r="A19">
        <v>4979</v>
      </c>
      <c r="B19" t="s">
        <v>30</v>
      </c>
      <c r="C19" t="s">
        <v>86</v>
      </c>
      <c r="D19" t="s">
        <v>86</v>
      </c>
      <c r="F19" s="1">
        <v>43579</v>
      </c>
      <c r="G19" s="1">
        <v>43678</v>
      </c>
      <c r="H19" t="s">
        <v>39</v>
      </c>
      <c r="J19" t="s">
        <v>87</v>
      </c>
      <c r="L19" t="s">
        <v>28</v>
      </c>
      <c r="M19" t="s">
        <v>34</v>
      </c>
      <c r="N19">
        <v>1500</v>
      </c>
      <c r="O19" t="s">
        <v>35</v>
      </c>
      <c r="P19" s="1">
        <v>43576</v>
      </c>
      <c r="Q19" s="1">
        <v>43588</v>
      </c>
      <c r="R19" s="1">
        <v>43599</v>
      </c>
      <c r="S19" s="1">
        <v>43653</v>
      </c>
      <c r="T19" t="s">
        <v>26</v>
      </c>
      <c r="U19" t="s">
        <v>26</v>
      </c>
    </row>
    <row r="20" spans="1:21" hidden="1" x14ac:dyDescent="0.45">
      <c r="A20">
        <v>4639</v>
      </c>
      <c r="B20" t="s">
        <v>20</v>
      </c>
      <c r="C20" t="s">
        <v>88</v>
      </c>
      <c r="D20" t="s">
        <v>89</v>
      </c>
      <c r="F20" s="1">
        <v>43541</v>
      </c>
      <c r="G20" s="1">
        <v>43653</v>
      </c>
      <c r="H20" t="s">
        <v>22</v>
      </c>
      <c r="J20" t="s">
        <v>90</v>
      </c>
      <c r="L20" t="s">
        <v>28</v>
      </c>
      <c r="M20" t="s">
        <v>25</v>
      </c>
      <c r="N20">
        <v>2000</v>
      </c>
      <c r="O20" s="1">
        <v>43553</v>
      </c>
      <c r="P20" t="s">
        <v>26</v>
      </c>
      <c r="Q20" t="s">
        <v>26</v>
      </c>
      <c r="R20" s="1">
        <v>43602</v>
      </c>
      <c r="S20" t="s">
        <v>91</v>
      </c>
      <c r="T20" t="s">
        <v>26</v>
      </c>
      <c r="U20" t="s">
        <v>26</v>
      </c>
    </row>
    <row r="21" spans="1:21" hidden="1" x14ac:dyDescent="0.45">
      <c r="A21">
        <v>4639</v>
      </c>
      <c r="B21" t="s">
        <v>20</v>
      </c>
      <c r="C21" t="s">
        <v>88</v>
      </c>
      <c r="D21" t="s">
        <v>89</v>
      </c>
      <c r="F21" s="1">
        <v>43541</v>
      </c>
      <c r="G21" s="1">
        <v>43653</v>
      </c>
      <c r="H21" t="s">
        <v>22</v>
      </c>
      <c r="J21" t="s">
        <v>92</v>
      </c>
      <c r="L21" t="s">
        <v>28</v>
      </c>
      <c r="M21" t="s">
        <v>25</v>
      </c>
      <c r="N21">
        <v>2000</v>
      </c>
      <c r="O21" s="1">
        <v>43604</v>
      </c>
      <c r="P21" t="s">
        <v>26</v>
      </c>
      <c r="Q21" t="s">
        <v>26</v>
      </c>
      <c r="R21" t="s">
        <v>93</v>
      </c>
      <c r="S21" t="s">
        <v>47</v>
      </c>
      <c r="T21" t="s">
        <v>26</v>
      </c>
      <c r="U21" t="s">
        <v>26</v>
      </c>
    </row>
    <row r="22" spans="1:21" x14ac:dyDescent="0.45">
      <c r="A22">
        <v>5640</v>
      </c>
      <c r="B22" t="s">
        <v>36</v>
      </c>
      <c r="C22" t="s">
        <v>96</v>
      </c>
      <c r="D22" t="s">
        <v>96</v>
      </c>
      <c r="F22" s="1">
        <v>43595</v>
      </c>
      <c r="G22" s="1">
        <v>43654</v>
      </c>
      <c r="H22" t="s">
        <v>53</v>
      </c>
      <c r="J22" t="s">
        <v>97</v>
      </c>
      <c r="K22" t="s">
        <v>671</v>
      </c>
      <c r="L22" t="s">
        <v>75</v>
      </c>
      <c r="M22" t="s">
        <v>34</v>
      </c>
      <c r="N22">
        <v>10000</v>
      </c>
      <c r="O22" t="s">
        <v>35</v>
      </c>
      <c r="P22" s="1">
        <v>43604</v>
      </c>
      <c r="Q22" s="1">
        <v>43616</v>
      </c>
      <c r="R22" t="s">
        <v>98</v>
      </c>
      <c r="S22" t="s">
        <v>99</v>
      </c>
      <c r="T22" t="s">
        <v>26</v>
      </c>
      <c r="U22" s="1">
        <v>43609</v>
      </c>
    </row>
    <row r="23" spans="1:21" x14ac:dyDescent="0.45">
      <c r="A23">
        <v>5637</v>
      </c>
      <c r="B23" t="s">
        <v>36</v>
      </c>
      <c r="C23" t="s">
        <v>94</v>
      </c>
      <c r="D23" t="s">
        <v>94</v>
      </c>
      <c r="F23" s="1">
        <v>43595</v>
      </c>
      <c r="G23" s="1">
        <v>43654</v>
      </c>
      <c r="H23" t="s">
        <v>53</v>
      </c>
      <c r="J23" t="s">
        <v>95</v>
      </c>
      <c r="K23" t="s">
        <v>671</v>
      </c>
      <c r="L23" t="s">
        <v>75</v>
      </c>
      <c r="M23" t="s">
        <v>34</v>
      </c>
      <c r="N23">
        <v>1500</v>
      </c>
      <c r="O23" t="s">
        <v>35</v>
      </c>
      <c r="P23" s="1">
        <v>43601</v>
      </c>
      <c r="Q23" s="1">
        <v>43613</v>
      </c>
      <c r="R23" s="1">
        <v>43632</v>
      </c>
      <c r="S23" s="1">
        <v>43638</v>
      </c>
      <c r="T23" t="s">
        <v>26</v>
      </c>
      <c r="U23" s="1">
        <v>43613</v>
      </c>
    </row>
    <row r="24" spans="1:21" x14ac:dyDescent="0.45">
      <c r="A24">
        <v>5638</v>
      </c>
      <c r="B24" t="s">
        <v>20</v>
      </c>
      <c r="C24" t="s">
        <v>100</v>
      </c>
      <c r="D24" t="s">
        <v>100</v>
      </c>
      <c r="F24" s="1">
        <v>43502</v>
      </c>
      <c r="G24" s="1">
        <v>43652</v>
      </c>
      <c r="H24" t="s">
        <v>45</v>
      </c>
      <c r="J24" t="s">
        <v>101</v>
      </c>
      <c r="K24" t="s">
        <v>671</v>
      </c>
      <c r="L24" t="s">
        <v>24</v>
      </c>
      <c r="M24" t="s">
        <v>25</v>
      </c>
      <c r="N24">
        <v>500</v>
      </c>
      <c r="O24" s="1">
        <v>43586</v>
      </c>
      <c r="P24" t="s">
        <v>102</v>
      </c>
      <c r="Q24" t="s">
        <v>103</v>
      </c>
      <c r="R24" t="s">
        <v>26</v>
      </c>
      <c r="S24" t="s">
        <v>26</v>
      </c>
      <c r="T24" s="1">
        <v>43607</v>
      </c>
      <c r="U24" t="s">
        <v>26</v>
      </c>
    </row>
    <row r="25" spans="1:21" hidden="1" x14ac:dyDescent="0.45">
      <c r="A25">
        <v>7657</v>
      </c>
      <c r="B25" t="s">
        <v>104</v>
      </c>
      <c r="C25" t="s">
        <v>105</v>
      </c>
      <c r="D25" t="s">
        <v>105</v>
      </c>
      <c r="F25" s="1">
        <v>43969</v>
      </c>
      <c r="G25" s="1">
        <v>44022</v>
      </c>
      <c r="H25" t="s">
        <v>39</v>
      </c>
      <c r="J25" t="s">
        <v>106</v>
      </c>
      <c r="L25" t="s">
        <v>28</v>
      </c>
      <c r="M25" t="s">
        <v>107</v>
      </c>
      <c r="N25" t="s">
        <v>108</v>
      </c>
      <c r="O25" t="s">
        <v>35</v>
      </c>
      <c r="P25" s="1">
        <v>43976</v>
      </c>
      <c r="Q25" s="1">
        <v>43988</v>
      </c>
      <c r="R25" s="1">
        <v>44000</v>
      </c>
      <c r="S25" t="s">
        <v>47</v>
      </c>
      <c r="T25" t="s">
        <v>26</v>
      </c>
      <c r="U25" t="s">
        <v>26</v>
      </c>
    </row>
    <row r="26" spans="1:21" hidden="1" x14ac:dyDescent="0.45">
      <c r="A26">
        <v>2908</v>
      </c>
      <c r="B26" t="s">
        <v>20</v>
      </c>
      <c r="C26" t="s">
        <v>109</v>
      </c>
      <c r="D26" t="s">
        <v>110</v>
      </c>
      <c r="F26" s="1">
        <v>43873</v>
      </c>
      <c r="G26" s="1">
        <v>44023</v>
      </c>
      <c r="H26" t="s">
        <v>32</v>
      </c>
      <c r="J26" t="s">
        <v>111</v>
      </c>
      <c r="L26" t="s">
        <v>32</v>
      </c>
      <c r="M26" t="s">
        <v>41</v>
      </c>
      <c r="N26">
        <v>1000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</row>
    <row r="27" spans="1:21" hidden="1" x14ac:dyDescent="0.45">
      <c r="A27">
        <v>57589</v>
      </c>
      <c r="B27" t="s">
        <v>112</v>
      </c>
      <c r="C27" t="s">
        <v>113</v>
      </c>
      <c r="D27" t="s">
        <v>113</v>
      </c>
      <c r="F27" s="1">
        <v>43929</v>
      </c>
      <c r="G27" s="1">
        <v>44027</v>
      </c>
      <c r="H27" t="s">
        <v>53</v>
      </c>
      <c r="J27" t="s">
        <v>114</v>
      </c>
      <c r="L27" t="s">
        <v>28</v>
      </c>
      <c r="M27" t="s">
        <v>108</v>
      </c>
      <c r="N27" t="s">
        <v>32</v>
      </c>
      <c r="O27" t="s">
        <v>35</v>
      </c>
      <c r="P27" s="1">
        <v>43933</v>
      </c>
      <c r="Q27" s="1">
        <v>43945</v>
      </c>
      <c r="R27" s="1">
        <v>43960</v>
      </c>
      <c r="S27" s="1">
        <v>43983</v>
      </c>
      <c r="T27" t="s">
        <v>26</v>
      </c>
      <c r="U27" t="s">
        <v>26</v>
      </c>
    </row>
    <row r="28" spans="1:21" hidden="1" x14ac:dyDescent="0.45">
      <c r="A28">
        <v>6199</v>
      </c>
      <c r="B28" t="s">
        <v>20</v>
      </c>
      <c r="C28" t="s">
        <v>115</v>
      </c>
      <c r="D28" t="s">
        <v>115</v>
      </c>
      <c r="F28" s="1">
        <v>43873</v>
      </c>
      <c r="G28" s="1">
        <v>44022</v>
      </c>
      <c r="H28" t="s">
        <v>39</v>
      </c>
      <c r="J28" t="s">
        <v>116</v>
      </c>
      <c r="L28" t="s">
        <v>28</v>
      </c>
      <c r="M28" t="s">
        <v>25</v>
      </c>
      <c r="N28">
        <v>4000</v>
      </c>
      <c r="O28" s="1">
        <v>43924</v>
      </c>
      <c r="P28" s="1">
        <v>43939</v>
      </c>
      <c r="Q28" s="1">
        <v>43951</v>
      </c>
      <c r="R28" s="1">
        <v>43962</v>
      </c>
      <c r="S28" t="s">
        <v>47</v>
      </c>
      <c r="T28" t="s">
        <v>26</v>
      </c>
      <c r="U28" t="s">
        <v>26</v>
      </c>
    </row>
    <row r="29" spans="1:21" hidden="1" x14ac:dyDescent="0.45">
      <c r="A29">
        <v>6199</v>
      </c>
      <c r="B29" t="s">
        <v>20</v>
      </c>
      <c r="C29" t="s">
        <v>115</v>
      </c>
      <c r="D29" t="s">
        <v>115</v>
      </c>
      <c r="F29" s="1">
        <v>43873</v>
      </c>
      <c r="G29" s="1">
        <v>44022</v>
      </c>
      <c r="H29" t="s">
        <v>39</v>
      </c>
      <c r="J29" t="s">
        <v>117</v>
      </c>
      <c r="L29" t="s">
        <v>28</v>
      </c>
      <c r="M29" t="s">
        <v>25</v>
      </c>
      <c r="N29">
        <v>4000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</row>
    <row r="30" spans="1:21" hidden="1" x14ac:dyDescent="0.45">
      <c r="A30">
        <v>7650</v>
      </c>
      <c r="B30" t="s">
        <v>30</v>
      </c>
      <c r="C30" t="s">
        <v>118</v>
      </c>
      <c r="D30" t="s">
        <v>118</v>
      </c>
      <c r="F30" s="1">
        <v>43940</v>
      </c>
      <c r="G30" s="1">
        <v>44048</v>
      </c>
      <c r="H30" t="s">
        <v>32</v>
      </c>
      <c r="J30" t="s">
        <v>119</v>
      </c>
      <c r="L30" t="s">
        <v>32</v>
      </c>
      <c r="M30" t="s">
        <v>34</v>
      </c>
      <c r="N30" t="s">
        <v>32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</row>
    <row r="31" spans="1:21" x14ac:dyDescent="0.45">
      <c r="A31">
        <v>6404</v>
      </c>
      <c r="B31" t="s">
        <v>36</v>
      </c>
      <c r="C31" t="s">
        <v>120</v>
      </c>
      <c r="D31" t="s">
        <v>120</v>
      </c>
      <c r="F31" s="1">
        <v>43949</v>
      </c>
      <c r="G31" s="1">
        <v>44006</v>
      </c>
      <c r="H31" t="s">
        <v>53</v>
      </c>
      <c r="J31" t="s">
        <v>121</v>
      </c>
      <c r="K31" t="s">
        <v>671</v>
      </c>
      <c r="L31" t="s">
        <v>75</v>
      </c>
      <c r="M31" t="s">
        <v>34</v>
      </c>
      <c r="N31">
        <v>1000</v>
      </c>
      <c r="O31" s="1">
        <v>43950</v>
      </c>
      <c r="P31" s="1">
        <v>43958</v>
      </c>
      <c r="Q31" s="1">
        <v>43970</v>
      </c>
      <c r="R31" t="s">
        <v>122</v>
      </c>
      <c r="S31" s="1">
        <v>43990</v>
      </c>
      <c r="T31" t="s">
        <v>26</v>
      </c>
      <c r="U31" s="1">
        <v>43969</v>
      </c>
    </row>
    <row r="32" spans="1:21" hidden="1" x14ac:dyDescent="0.45">
      <c r="A32">
        <v>2915</v>
      </c>
      <c r="B32" t="s">
        <v>20</v>
      </c>
      <c r="C32" t="s">
        <v>123</v>
      </c>
      <c r="D32" t="s">
        <v>123</v>
      </c>
      <c r="F32" s="1">
        <v>43873</v>
      </c>
      <c r="G32" s="1">
        <v>44022</v>
      </c>
      <c r="H32" t="s">
        <v>32</v>
      </c>
      <c r="J32" t="s">
        <v>124</v>
      </c>
      <c r="L32" t="s">
        <v>32</v>
      </c>
      <c r="M32" t="s">
        <v>25</v>
      </c>
      <c r="N32" t="s">
        <v>32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</row>
    <row r="33" spans="1:21" hidden="1" x14ac:dyDescent="0.45">
      <c r="A33">
        <v>18572</v>
      </c>
      <c r="B33" t="s">
        <v>112</v>
      </c>
      <c r="C33" t="s">
        <v>125</v>
      </c>
      <c r="D33" t="s">
        <v>126</v>
      </c>
      <c r="F33" s="1">
        <v>43915</v>
      </c>
      <c r="G33" s="1">
        <v>44030</v>
      </c>
      <c r="H33" t="s">
        <v>53</v>
      </c>
      <c r="J33" t="s">
        <v>127</v>
      </c>
      <c r="L33" t="s">
        <v>28</v>
      </c>
      <c r="M33" t="s">
        <v>108</v>
      </c>
      <c r="N33" t="s">
        <v>108</v>
      </c>
      <c r="O33" t="s">
        <v>26</v>
      </c>
      <c r="P33" t="s">
        <v>128</v>
      </c>
      <c r="Q33" t="s">
        <v>129</v>
      </c>
      <c r="R33" s="1">
        <v>43963</v>
      </c>
      <c r="S33" s="1">
        <v>44001</v>
      </c>
      <c r="T33" t="s">
        <v>26</v>
      </c>
      <c r="U33" t="s">
        <v>26</v>
      </c>
    </row>
    <row r="34" spans="1:21" hidden="1" x14ac:dyDescent="0.45">
      <c r="A34">
        <v>24130</v>
      </c>
      <c r="B34" t="s">
        <v>68</v>
      </c>
      <c r="C34" t="s">
        <v>130</v>
      </c>
      <c r="D34" t="s">
        <v>131</v>
      </c>
      <c r="F34" s="1">
        <v>44307</v>
      </c>
      <c r="G34" s="1">
        <v>44373</v>
      </c>
      <c r="H34" t="s">
        <v>53</v>
      </c>
      <c r="J34" t="s">
        <v>132</v>
      </c>
      <c r="L34" t="s">
        <v>28</v>
      </c>
      <c r="M34" t="s">
        <v>25</v>
      </c>
      <c r="N34" t="s">
        <v>108</v>
      </c>
      <c r="O34" s="1">
        <v>44327</v>
      </c>
      <c r="P34" s="1">
        <v>44341</v>
      </c>
      <c r="Q34" s="1">
        <v>44353</v>
      </c>
      <c r="R34" t="s">
        <v>133</v>
      </c>
      <c r="S34" s="1">
        <v>44364</v>
      </c>
      <c r="T34" t="s">
        <v>26</v>
      </c>
      <c r="U34" t="s">
        <v>26</v>
      </c>
    </row>
    <row r="35" spans="1:21" hidden="1" x14ac:dyDescent="0.45">
      <c r="A35">
        <v>24221</v>
      </c>
      <c r="B35" t="s">
        <v>68</v>
      </c>
      <c r="C35" t="s">
        <v>134</v>
      </c>
      <c r="D35" t="s">
        <v>135</v>
      </c>
      <c r="F35" s="1">
        <v>44307</v>
      </c>
      <c r="G35" s="1">
        <v>44368</v>
      </c>
      <c r="H35" t="s">
        <v>45</v>
      </c>
      <c r="J35" t="s">
        <v>136</v>
      </c>
      <c r="L35" t="s">
        <v>45</v>
      </c>
      <c r="M35" t="s">
        <v>25</v>
      </c>
      <c r="N35" t="s">
        <v>108</v>
      </c>
      <c r="O35" s="1">
        <v>44334</v>
      </c>
      <c r="P35" s="1">
        <v>44351</v>
      </c>
      <c r="Q35" s="1">
        <v>44363</v>
      </c>
      <c r="R35" t="s">
        <v>47</v>
      </c>
      <c r="S35" t="s">
        <v>47</v>
      </c>
      <c r="T35" t="s">
        <v>26</v>
      </c>
      <c r="U35" t="s">
        <v>26</v>
      </c>
    </row>
    <row r="36" spans="1:21" hidden="1" x14ac:dyDescent="0.45">
      <c r="A36">
        <v>21652</v>
      </c>
      <c r="B36" t="s">
        <v>104</v>
      </c>
      <c r="C36" t="s">
        <v>137</v>
      </c>
      <c r="D36" t="s">
        <v>137</v>
      </c>
      <c r="E36" t="s">
        <v>138</v>
      </c>
      <c r="F36" s="1">
        <v>44336</v>
      </c>
      <c r="G36" s="1">
        <v>44382</v>
      </c>
      <c r="H36" t="s">
        <v>53</v>
      </c>
      <c r="J36" t="s">
        <v>139</v>
      </c>
      <c r="L36" t="s">
        <v>28</v>
      </c>
      <c r="M36" t="s">
        <v>107</v>
      </c>
      <c r="N36">
        <v>10000</v>
      </c>
      <c r="O36" t="s">
        <v>35</v>
      </c>
      <c r="P36" s="1">
        <v>44345</v>
      </c>
      <c r="Q36" s="1">
        <v>44357</v>
      </c>
      <c r="R36" s="1">
        <v>44367</v>
      </c>
      <c r="S36" t="s">
        <v>47</v>
      </c>
      <c r="T36" t="s">
        <v>26</v>
      </c>
      <c r="U36" t="s">
        <v>26</v>
      </c>
    </row>
    <row r="37" spans="1:21" hidden="1" x14ac:dyDescent="0.45">
      <c r="A37">
        <v>24652</v>
      </c>
      <c r="B37" t="s">
        <v>104</v>
      </c>
      <c r="C37" t="s">
        <v>140</v>
      </c>
      <c r="D37" t="s">
        <v>140</v>
      </c>
      <c r="F37" s="1">
        <v>44336</v>
      </c>
      <c r="G37" s="1">
        <v>44382</v>
      </c>
      <c r="H37" t="s">
        <v>53</v>
      </c>
      <c r="J37" t="s">
        <v>141</v>
      </c>
      <c r="L37" t="s">
        <v>28</v>
      </c>
      <c r="M37" t="s">
        <v>107</v>
      </c>
      <c r="N37">
        <v>10000</v>
      </c>
      <c r="O37" s="1">
        <v>44337</v>
      </c>
      <c r="P37" s="1">
        <v>44344</v>
      </c>
      <c r="Q37" s="1">
        <v>44356</v>
      </c>
      <c r="R37" s="1">
        <v>44370</v>
      </c>
      <c r="S37" s="1">
        <v>44380</v>
      </c>
      <c r="T37" t="s">
        <v>26</v>
      </c>
      <c r="U37" t="s">
        <v>26</v>
      </c>
    </row>
    <row r="38" spans="1:21" hidden="1" x14ac:dyDescent="0.45">
      <c r="A38">
        <v>21591</v>
      </c>
      <c r="B38" t="s">
        <v>104</v>
      </c>
      <c r="C38" t="s">
        <v>142</v>
      </c>
      <c r="D38" t="s">
        <v>142</v>
      </c>
      <c r="E38" t="s">
        <v>138</v>
      </c>
      <c r="F38" s="1">
        <v>44328</v>
      </c>
      <c r="G38" s="1">
        <v>44375</v>
      </c>
      <c r="H38" t="s">
        <v>53</v>
      </c>
      <c r="J38" t="s">
        <v>143</v>
      </c>
      <c r="L38" t="s">
        <v>28</v>
      </c>
      <c r="M38" t="s">
        <v>107</v>
      </c>
      <c r="N38">
        <v>10000</v>
      </c>
      <c r="O38" t="s">
        <v>35</v>
      </c>
      <c r="P38" s="1">
        <v>44337</v>
      </c>
      <c r="Q38" s="1">
        <v>44349</v>
      </c>
      <c r="R38" s="1">
        <v>44360</v>
      </c>
      <c r="S38" t="s">
        <v>47</v>
      </c>
      <c r="T38" t="s">
        <v>26</v>
      </c>
      <c r="U38" t="s">
        <v>26</v>
      </c>
    </row>
    <row r="39" spans="1:21" hidden="1" x14ac:dyDescent="0.45">
      <c r="A39">
        <v>24122</v>
      </c>
      <c r="B39" t="s">
        <v>144</v>
      </c>
      <c r="C39" t="s">
        <v>145</v>
      </c>
      <c r="D39" t="s">
        <v>145</v>
      </c>
      <c r="F39" s="1">
        <v>44315</v>
      </c>
      <c r="G39" s="1">
        <v>44389</v>
      </c>
      <c r="H39" t="s">
        <v>32</v>
      </c>
      <c r="J39" t="s">
        <v>146</v>
      </c>
      <c r="L39" t="s">
        <v>32</v>
      </c>
      <c r="M39" t="s">
        <v>147</v>
      </c>
      <c r="N39" t="s">
        <v>32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</row>
    <row r="40" spans="1:21" hidden="1" x14ac:dyDescent="0.45">
      <c r="A40">
        <v>21681</v>
      </c>
      <c r="B40" t="s">
        <v>20</v>
      </c>
      <c r="C40" t="s">
        <v>148</v>
      </c>
      <c r="D40" t="s">
        <v>149</v>
      </c>
      <c r="F40" s="1">
        <v>44229</v>
      </c>
      <c r="G40" s="1">
        <v>44328</v>
      </c>
      <c r="H40" t="s">
        <v>32</v>
      </c>
      <c r="J40" t="s">
        <v>150</v>
      </c>
      <c r="L40" t="s">
        <v>32</v>
      </c>
      <c r="M40" t="s">
        <v>41</v>
      </c>
      <c r="N40">
        <v>1000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</row>
    <row r="41" spans="1:21" x14ac:dyDescent="0.45">
      <c r="A41">
        <v>24651</v>
      </c>
      <c r="B41" t="s">
        <v>104</v>
      </c>
      <c r="C41" t="s">
        <v>151</v>
      </c>
      <c r="D41" t="s">
        <v>152</v>
      </c>
      <c r="E41" t="s">
        <v>153</v>
      </c>
      <c r="F41" s="1">
        <v>44320</v>
      </c>
      <c r="G41" s="1">
        <v>44336</v>
      </c>
      <c r="H41" t="s">
        <v>45</v>
      </c>
      <c r="J41" t="s">
        <v>154</v>
      </c>
      <c r="K41" t="s">
        <v>671</v>
      </c>
      <c r="L41" t="s">
        <v>24</v>
      </c>
      <c r="M41" t="s">
        <v>155</v>
      </c>
      <c r="N41">
        <v>1000</v>
      </c>
      <c r="O41" t="s">
        <v>35</v>
      </c>
      <c r="P41" t="s">
        <v>26</v>
      </c>
      <c r="Q41" t="s">
        <v>26</v>
      </c>
      <c r="R41" t="s">
        <v>156</v>
      </c>
      <c r="S41" t="s">
        <v>156</v>
      </c>
      <c r="T41" s="1">
        <v>44330</v>
      </c>
      <c r="U41" t="s">
        <v>26</v>
      </c>
    </row>
    <row r="42" spans="1:21" hidden="1" x14ac:dyDescent="0.45">
      <c r="A42">
        <v>24653</v>
      </c>
      <c r="B42" t="s">
        <v>104</v>
      </c>
      <c r="C42" t="s">
        <v>157</v>
      </c>
      <c r="D42" t="s">
        <v>158</v>
      </c>
      <c r="F42" s="1">
        <v>44320</v>
      </c>
      <c r="G42" s="1">
        <v>44336</v>
      </c>
      <c r="H42" t="s">
        <v>45</v>
      </c>
      <c r="J42" t="s">
        <v>159</v>
      </c>
      <c r="L42" t="s">
        <v>45</v>
      </c>
      <c r="M42" t="s">
        <v>41</v>
      </c>
      <c r="N42">
        <v>1500</v>
      </c>
      <c r="O42" t="s">
        <v>35</v>
      </c>
      <c r="P42" s="1">
        <v>44322</v>
      </c>
      <c r="Q42" s="1">
        <v>44334</v>
      </c>
      <c r="R42" t="s">
        <v>47</v>
      </c>
      <c r="S42" t="s">
        <v>47</v>
      </c>
      <c r="T42" t="s">
        <v>26</v>
      </c>
      <c r="U42" t="s">
        <v>26</v>
      </c>
    </row>
    <row r="43" spans="1:21" hidden="1" x14ac:dyDescent="0.45">
      <c r="A43">
        <v>21668</v>
      </c>
      <c r="B43" t="s">
        <v>104</v>
      </c>
      <c r="C43" t="s">
        <v>160</v>
      </c>
      <c r="D43" t="s">
        <v>160</v>
      </c>
      <c r="F43" s="1">
        <v>44320</v>
      </c>
      <c r="G43" s="1">
        <v>44361</v>
      </c>
      <c r="H43" t="s">
        <v>22</v>
      </c>
      <c r="J43" t="s">
        <v>161</v>
      </c>
      <c r="L43" t="s">
        <v>28</v>
      </c>
      <c r="M43" t="s">
        <v>108</v>
      </c>
      <c r="N43" t="s">
        <v>108</v>
      </c>
      <c r="O43" t="s">
        <v>35</v>
      </c>
      <c r="P43" s="1">
        <v>44316</v>
      </c>
      <c r="Q43" s="1">
        <v>44328</v>
      </c>
      <c r="R43" s="1">
        <v>44340</v>
      </c>
      <c r="S43" t="s">
        <v>47</v>
      </c>
      <c r="T43" t="s">
        <v>26</v>
      </c>
      <c r="U43" t="s">
        <v>26</v>
      </c>
    </row>
    <row r="44" spans="1:21" hidden="1" x14ac:dyDescent="0.45">
      <c r="A44">
        <v>21668</v>
      </c>
      <c r="B44" t="s">
        <v>104</v>
      </c>
      <c r="C44" t="s">
        <v>160</v>
      </c>
      <c r="D44" t="s">
        <v>160</v>
      </c>
      <c r="F44" s="1">
        <v>44320</v>
      </c>
      <c r="G44" s="1">
        <v>44361</v>
      </c>
      <c r="H44" t="s">
        <v>22</v>
      </c>
      <c r="J44" t="s">
        <v>162</v>
      </c>
      <c r="L44" t="s">
        <v>45</v>
      </c>
      <c r="M44" t="s">
        <v>108</v>
      </c>
      <c r="N44" t="s">
        <v>108</v>
      </c>
      <c r="O44" s="1">
        <v>44339</v>
      </c>
      <c r="P44" s="1">
        <v>44347</v>
      </c>
      <c r="Q44" s="1">
        <v>44359</v>
      </c>
      <c r="R44" t="s">
        <v>47</v>
      </c>
      <c r="S44" t="s">
        <v>47</v>
      </c>
      <c r="T44" t="s">
        <v>26</v>
      </c>
      <c r="U44" t="s">
        <v>26</v>
      </c>
    </row>
    <row r="45" spans="1:21" hidden="1" x14ac:dyDescent="0.45">
      <c r="A45">
        <v>21688</v>
      </c>
      <c r="B45" t="s">
        <v>104</v>
      </c>
      <c r="C45" t="s">
        <v>163</v>
      </c>
      <c r="D45" t="s">
        <v>163</v>
      </c>
      <c r="F45" s="1">
        <v>44320</v>
      </c>
      <c r="G45" s="1">
        <v>44361</v>
      </c>
      <c r="H45" t="s">
        <v>53</v>
      </c>
      <c r="J45" t="s">
        <v>164</v>
      </c>
      <c r="L45" t="s">
        <v>28</v>
      </c>
      <c r="M45" t="s">
        <v>165</v>
      </c>
      <c r="N45">
        <v>7000</v>
      </c>
      <c r="O45" t="s">
        <v>35</v>
      </c>
      <c r="P45" s="1">
        <v>44317</v>
      </c>
      <c r="Q45" s="1">
        <v>44329</v>
      </c>
      <c r="R45" s="1">
        <v>44344</v>
      </c>
      <c r="S45" s="1">
        <v>44351</v>
      </c>
      <c r="T45" t="s">
        <v>26</v>
      </c>
      <c r="U45" t="s">
        <v>26</v>
      </c>
    </row>
    <row r="46" spans="1:21" hidden="1" x14ac:dyDescent="0.45">
      <c r="A46">
        <v>11101</v>
      </c>
      <c r="B46" t="s">
        <v>20</v>
      </c>
      <c r="C46" t="s">
        <v>166</v>
      </c>
      <c r="D46" t="s">
        <v>166</v>
      </c>
      <c r="F46" s="1">
        <v>44229</v>
      </c>
      <c r="G46" s="1">
        <v>44324</v>
      </c>
      <c r="H46" t="s">
        <v>45</v>
      </c>
      <c r="J46" t="s">
        <v>167</v>
      </c>
      <c r="L46" t="s">
        <v>45</v>
      </c>
      <c r="M46" t="s">
        <v>25</v>
      </c>
      <c r="N46">
        <v>4000</v>
      </c>
      <c r="O46" s="1">
        <v>44286</v>
      </c>
      <c r="P46" s="1">
        <v>44298</v>
      </c>
      <c r="Q46" s="1">
        <v>44310</v>
      </c>
      <c r="R46" t="s">
        <v>47</v>
      </c>
      <c r="S46" t="s">
        <v>47</v>
      </c>
      <c r="T46" t="s">
        <v>26</v>
      </c>
      <c r="U46" t="s">
        <v>26</v>
      </c>
    </row>
    <row r="47" spans="1:21" hidden="1" x14ac:dyDescent="0.45">
      <c r="A47">
        <v>24658</v>
      </c>
      <c r="B47" t="s">
        <v>30</v>
      </c>
      <c r="C47" t="s">
        <v>168</v>
      </c>
      <c r="D47" t="s">
        <v>168</v>
      </c>
      <c r="F47" s="1">
        <v>44229</v>
      </c>
      <c r="G47" s="1">
        <v>44330</v>
      </c>
      <c r="H47" t="s">
        <v>32</v>
      </c>
      <c r="J47" t="s">
        <v>169</v>
      </c>
      <c r="L47" t="s">
        <v>32</v>
      </c>
      <c r="M47" t="s">
        <v>34</v>
      </c>
      <c r="N47" t="s">
        <v>32</v>
      </c>
      <c r="O47" s="1">
        <v>44289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</row>
    <row r="48" spans="1:21" hidden="1" x14ac:dyDescent="0.45">
      <c r="A48">
        <v>24606</v>
      </c>
      <c r="B48" t="s">
        <v>170</v>
      </c>
      <c r="C48" t="s">
        <v>171</v>
      </c>
      <c r="D48" t="s">
        <v>171</v>
      </c>
      <c r="F48" s="1">
        <v>44295</v>
      </c>
      <c r="G48" s="1">
        <v>44413</v>
      </c>
      <c r="H48" t="s">
        <v>53</v>
      </c>
      <c r="J48" t="s">
        <v>172</v>
      </c>
      <c r="L48" t="s">
        <v>28</v>
      </c>
      <c r="M48" t="s">
        <v>173</v>
      </c>
      <c r="N48" t="s">
        <v>108</v>
      </c>
      <c r="O48" s="1">
        <v>44315</v>
      </c>
      <c r="P48" s="1">
        <v>44336</v>
      </c>
      <c r="Q48" s="1">
        <v>44348</v>
      </c>
      <c r="R48" t="s">
        <v>26</v>
      </c>
      <c r="S48" t="s">
        <v>174</v>
      </c>
      <c r="T48" t="s">
        <v>26</v>
      </c>
      <c r="U48" t="s">
        <v>26</v>
      </c>
    </row>
    <row r="49" spans="1:21" hidden="1" x14ac:dyDescent="0.45">
      <c r="A49">
        <v>24544</v>
      </c>
      <c r="B49" t="s">
        <v>170</v>
      </c>
      <c r="C49" t="s">
        <v>175</v>
      </c>
      <c r="D49" t="s">
        <v>175</v>
      </c>
      <c r="F49" s="1">
        <v>44292</v>
      </c>
      <c r="G49" s="1">
        <v>44407</v>
      </c>
      <c r="H49" t="s">
        <v>32</v>
      </c>
      <c r="J49" t="s">
        <v>176</v>
      </c>
      <c r="L49" t="s">
        <v>32</v>
      </c>
      <c r="M49" t="s">
        <v>177</v>
      </c>
      <c r="N49" t="s">
        <v>32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</row>
    <row r="50" spans="1:21" hidden="1" x14ac:dyDescent="0.45">
      <c r="A50">
        <v>24641</v>
      </c>
      <c r="B50" t="s">
        <v>170</v>
      </c>
      <c r="C50" t="s">
        <v>178</v>
      </c>
      <c r="D50" t="s">
        <v>178</v>
      </c>
      <c r="F50" s="1">
        <v>44292</v>
      </c>
      <c r="G50" s="1">
        <v>44413</v>
      </c>
      <c r="H50" t="s">
        <v>32</v>
      </c>
      <c r="J50" t="s">
        <v>179</v>
      </c>
      <c r="L50" t="s">
        <v>32</v>
      </c>
      <c r="M50" t="s">
        <v>180</v>
      </c>
      <c r="N50" t="s">
        <v>32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</row>
    <row r="51" spans="1:21" hidden="1" x14ac:dyDescent="0.45">
      <c r="A51">
        <v>24655</v>
      </c>
      <c r="B51" t="s">
        <v>170</v>
      </c>
      <c r="C51" t="s">
        <v>181</v>
      </c>
      <c r="D51" t="s">
        <v>181</v>
      </c>
      <c r="F51" s="1">
        <v>44305</v>
      </c>
      <c r="G51" s="1">
        <v>44418</v>
      </c>
      <c r="H51" t="s">
        <v>53</v>
      </c>
      <c r="J51" t="s">
        <v>182</v>
      </c>
      <c r="K51" t="s">
        <v>669</v>
      </c>
      <c r="L51" t="s">
        <v>75</v>
      </c>
      <c r="M51" t="s">
        <v>183</v>
      </c>
      <c r="N51" t="s">
        <v>108</v>
      </c>
      <c r="O51" s="1">
        <v>44313</v>
      </c>
      <c r="P51" s="1">
        <v>44328</v>
      </c>
      <c r="Q51" s="1">
        <v>44340</v>
      </c>
      <c r="R51" t="s">
        <v>184</v>
      </c>
      <c r="S51" t="s">
        <v>185</v>
      </c>
      <c r="T51" t="s">
        <v>26</v>
      </c>
      <c r="U51" s="1">
        <v>44323</v>
      </c>
    </row>
    <row r="52" spans="1:21" hidden="1" x14ac:dyDescent="0.45">
      <c r="A52">
        <v>26534</v>
      </c>
      <c r="B52" t="s">
        <v>170</v>
      </c>
      <c r="C52" t="s">
        <v>186</v>
      </c>
      <c r="D52" t="s">
        <v>186</v>
      </c>
      <c r="F52" s="1">
        <v>44313</v>
      </c>
      <c r="G52" s="1">
        <v>44425</v>
      </c>
      <c r="H52" t="s">
        <v>187</v>
      </c>
      <c r="I52" t="s">
        <v>188</v>
      </c>
      <c r="J52" t="s">
        <v>189</v>
      </c>
      <c r="L52" t="s">
        <v>28</v>
      </c>
      <c r="M52" t="s">
        <v>41</v>
      </c>
      <c r="N52" t="s">
        <v>108</v>
      </c>
      <c r="O52" t="s">
        <v>35</v>
      </c>
      <c r="P52" t="s">
        <v>35</v>
      </c>
      <c r="Q52" t="s">
        <v>35</v>
      </c>
      <c r="R52" s="1">
        <v>44334</v>
      </c>
      <c r="S52" s="1">
        <v>44349</v>
      </c>
      <c r="T52" t="s">
        <v>26</v>
      </c>
      <c r="U52" t="s">
        <v>26</v>
      </c>
    </row>
    <row r="53" spans="1:21" hidden="1" x14ac:dyDescent="0.45">
      <c r="A53">
        <v>26534</v>
      </c>
      <c r="B53" t="s">
        <v>170</v>
      </c>
      <c r="C53" t="s">
        <v>186</v>
      </c>
      <c r="D53" t="s">
        <v>186</v>
      </c>
      <c r="F53" s="1">
        <v>44313</v>
      </c>
      <c r="G53" s="1">
        <v>44425</v>
      </c>
      <c r="H53" t="s">
        <v>187</v>
      </c>
      <c r="I53" t="s">
        <v>188</v>
      </c>
      <c r="J53" t="s">
        <v>190</v>
      </c>
      <c r="L53" t="s">
        <v>28</v>
      </c>
      <c r="M53" t="s">
        <v>41</v>
      </c>
      <c r="N53" t="s">
        <v>108</v>
      </c>
      <c r="O53" t="s">
        <v>26</v>
      </c>
      <c r="P53" t="s">
        <v>26</v>
      </c>
      <c r="Q53" s="1">
        <v>44339</v>
      </c>
      <c r="R53" s="1">
        <v>44356</v>
      </c>
      <c r="S53" s="1">
        <v>44364</v>
      </c>
      <c r="T53" t="s">
        <v>26</v>
      </c>
      <c r="U53" t="s">
        <v>26</v>
      </c>
    </row>
    <row r="54" spans="1:21" hidden="1" x14ac:dyDescent="0.45">
      <c r="A54">
        <v>26535</v>
      </c>
      <c r="B54" t="s">
        <v>170</v>
      </c>
      <c r="C54" t="s">
        <v>191</v>
      </c>
      <c r="D54" t="s">
        <v>191</v>
      </c>
      <c r="F54" s="1">
        <v>44317</v>
      </c>
      <c r="G54" s="1">
        <v>44429</v>
      </c>
      <c r="H54" t="s">
        <v>192</v>
      </c>
      <c r="J54" t="s">
        <v>193</v>
      </c>
      <c r="L54" t="s">
        <v>192</v>
      </c>
      <c r="M54" t="s">
        <v>177</v>
      </c>
      <c r="N54" t="s">
        <v>32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</row>
    <row r="55" spans="1:21" x14ac:dyDescent="0.45">
      <c r="A55">
        <v>26536</v>
      </c>
      <c r="B55" t="s">
        <v>170</v>
      </c>
      <c r="C55" t="s">
        <v>194</v>
      </c>
      <c r="D55" t="s">
        <v>194</v>
      </c>
      <c r="F55" s="1">
        <v>44333</v>
      </c>
      <c r="G55" s="1">
        <v>44440</v>
      </c>
      <c r="H55" t="s">
        <v>45</v>
      </c>
      <c r="J55" t="s">
        <v>195</v>
      </c>
      <c r="K55" t="s">
        <v>671</v>
      </c>
      <c r="L55" t="s">
        <v>24</v>
      </c>
      <c r="M55" t="s">
        <v>183</v>
      </c>
      <c r="N55" t="s">
        <v>108</v>
      </c>
      <c r="O55" t="s">
        <v>35</v>
      </c>
      <c r="P55" s="1">
        <v>44335</v>
      </c>
      <c r="Q55" s="1">
        <v>44347</v>
      </c>
      <c r="R55" t="s">
        <v>26</v>
      </c>
      <c r="S55" t="s">
        <v>26</v>
      </c>
      <c r="T55" s="1">
        <v>44352</v>
      </c>
      <c r="U55" t="s">
        <v>26</v>
      </c>
    </row>
    <row r="56" spans="1:21" hidden="1" x14ac:dyDescent="0.45">
      <c r="A56">
        <v>26432</v>
      </c>
      <c r="B56" t="s">
        <v>36</v>
      </c>
      <c r="C56" t="s">
        <v>196</v>
      </c>
      <c r="D56" t="s">
        <v>196</v>
      </c>
      <c r="F56" s="1">
        <v>44316</v>
      </c>
      <c r="G56" s="1">
        <v>44370</v>
      </c>
      <c r="H56" t="s">
        <v>192</v>
      </c>
      <c r="J56" t="s">
        <v>197</v>
      </c>
      <c r="L56" t="s">
        <v>192</v>
      </c>
      <c r="M56" t="s">
        <v>34</v>
      </c>
      <c r="N56" t="s">
        <v>32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</row>
    <row r="57" spans="1:21" hidden="1" x14ac:dyDescent="0.45">
      <c r="A57">
        <v>24252</v>
      </c>
      <c r="B57" t="s">
        <v>48</v>
      </c>
      <c r="C57" t="s">
        <v>198</v>
      </c>
      <c r="D57" t="s">
        <v>198</v>
      </c>
      <c r="F57" s="1">
        <v>44305</v>
      </c>
      <c r="G57" s="1">
        <v>44381</v>
      </c>
      <c r="H57" t="s">
        <v>199</v>
      </c>
      <c r="J57" t="s">
        <v>200</v>
      </c>
      <c r="L57" t="s">
        <v>28</v>
      </c>
      <c r="M57" t="s">
        <v>41</v>
      </c>
      <c r="N57">
        <v>2500</v>
      </c>
      <c r="O57" t="s">
        <v>35</v>
      </c>
      <c r="P57" s="1">
        <v>44302</v>
      </c>
      <c r="Q57" s="1">
        <v>44314</v>
      </c>
      <c r="R57" s="1">
        <v>44331</v>
      </c>
      <c r="S57" t="s">
        <v>26</v>
      </c>
      <c r="T57" t="s">
        <v>26</v>
      </c>
      <c r="U57" t="s">
        <v>26</v>
      </c>
    </row>
    <row r="58" spans="1:21" hidden="1" x14ac:dyDescent="0.45">
      <c r="A58">
        <v>24252</v>
      </c>
      <c r="B58" t="s">
        <v>48</v>
      </c>
      <c r="C58" t="s">
        <v>198</v>
      </c>
      <c r="D58" t="s">
        <v>198</v>
      </c>
      <c r="F58" s="1">
        <v>44305</v>
      </c>
      <c r="G58" s="1">
        <v>44381</v>
      </c>
      <c r="H58" t="s">
        <v>199</v>
      </c>
      <c r="J58" t="s">
        <v>201</v>
      </c>
      <c r="L58" t="s">
        <v>28</v>
      </c>
      <c r="M58" t="s">
        <v>41</v>
      </c>
      <c r="N58">
        <v>2500</v>
      </c>
      <c r="O58" s="1">
        <v>44320</v>
      </c>
      <c r="P58" s="1">
        <v>44329</v>
      </c>
      <c r="Q58" s="1">
        <v>44341</v>
      </c>
      <c r="R58" t="s">
        <v>202</v>
      </c>
      <c r="S58" s="1">
        <v>44366</v>
      </c>
      <c r="T58" t="s">
        <v>26</v>
      </c>
      <c r="U58" t="s">
        <v>26</v>
      </c>
    </row>
    <row r="59" spans="1:21" hidden="1" x14ac:dyDescent="0.45">
      <c r="A59">
        <v>24233</v>
      </c>
      <c r="B59" t="s">
        <v>144</v>
      </c>
      <c r="C59" t="s">
        <v>203</v>
      </c>
      <c r="D59" t="s">
        <v>204</v>
      </c>
      <c r="E59" t="s">
        <v>205</v>
      </c>
      <c r="F59" s="1">
        <v>44287</v>
      </c>
      <c r="G59" s="1">
        <v>44391</v>
      </c>
      <c r="H59" t="s">
        <v>53</v>
      </c>
      <c r="J59" t="s">
        <v>206</v>
      </c>
      <c r="K59" t="s">
        <v>669</v>
      </c>
      <c r="L59" t="s">
        <v>75</v>
      </c>
      <c r="M59" t="s">
        <v>177</v>
      </c>
      <c r="N59" t="s">
        <v>108</v>
      </c>
      <c r="O59" s="1">
        <v>44293</v>
      </c>
      <c r="P59" s="1">
        <v>44306</v>
      </c>
      <c r="Q59" s="1">
        <v>44318</v>
      </c>
      <c r="R59" t="s">
        <v>207</v>
      </c>
      <c r="S59" t="s">
        <v>208</v>
      </c>
      <c r="T59" t="s">
        <v>26</v>
      </c>
      <c r="U59" s="1">
        <v>44316</v>
      </c>
    </row>
    <row r="60" spans="1:21" hidden="1" x14ac:dyDescent="0.45">
      <c r="A60">
        <v>24232</v>
      </c>
      <c r="B60" t="s">
        <v>144</v>
      </c>
      <c r="C60" t="s">
        <v>209</v>
      </c>
      <c r="D60" t="s">
        <v>210</v>
      </c>
      <c r="F60" s="1">
        <v>44287</v>
      </c>
      <c r="G60" s="1">
        <v>44391</v>
      </c>
      <c r="H60" t="s">
        <v>53</v>
      </c>
      <c r="J60" t="s">
        <v>211</v>
      </c>
      <c r="L60" t="s">
        <v>28</v>
      </c>
      <c r="M60" t="s">
        <v>177</v>
      </c>
      <c r="N60" t="s">
        <v>108</v>
      </c>
      <c r="O60" s="1">
        <v>44293</v>
      </c>
      <c r="P60" s="1">
        <v>44304</v>
      </c>
      <c r="Q60" s="1">
        <v>44316</v>
      </c>
      <c r="R60" s="1">
        <v>44334</v>
      </c>
      <c r="S60" s="1">
        <v>44339</v>
      </c>
      <c r="T60" t="s">
        <v>26</v>
      </c>
      <c r="U60" t="s">
        <v>26</v>
      </c>
    </row>
    <row r="61" spans="1:21" hidden="1" x14ac:dyDescent="0.45">
      <c r="A61">
        <v>21537</v>
      </c>
      <c r="B61" t="s">
        <v>104</v>
      </c>
      <c r="C61" t="s">
        <v>212</v>
      </c>
      <c r="D61" t="s">
        <v>212</v>
      </c>
      <c r="F61" s="1">
        <v>44330</v>
      </c>
      <c r="G61" s="1">
        <v>44351</v>
      </c>
      <c r="H61" t="s">
        <v>45</v>
      </c>
      <c r="J61" t="s">
        <v>213</v>
      </c>
      <c r="L61" t="s">
        <v>45</v>
      </c>
      <c r="M61" t="s">
        <v>214</v>
      </c>
      <c r="N61" t="s">
        <v>108</v>
      </c>
      <c r="O61" t="s">
        <v>35</v>
      </c>
      <c r="P61" s="1">
        <v>44331</v>
      </c>
      <c r="Q61" s="1">
        <v>44343</v>
      </c>
      <c r="R61" t="s">
        <v>47</v>
      </c>
      <c r="S61" t="s">
        <v>47</v>
      </c>
      <c r="T61" t="s">
        <v>26</v>
      </c>
      <c r="U61" t="s">
        <v>26</v>
      </c>
    </row>
    <row r="62" spans="1:21" hidden="1" x14ac:dyDescent="0.45">
      <c r="A62">
        <v>24119</v>
      </c>
      <c r="B62" t="s">
        <v>215</v>
      </c>
      <c r="C62" t="s">
        <v>216</v>
      </c>
      <c r="D62" t="s">
        <v>216</v>
      </c>
      <c r="F62" s="1">
        <v>44274</v>
      </c>
      <c r="G62" s="1">
        <v>44352</v>
      </c>
      <c r="H62" t="s">
        <v>39</v>
      </c>
      <c r="J62" t="s">
        <v>217</v>
      </c>
      <c r="L62" t="s">
        <v>28</v>
      </c>
      <c r="M62" t="s">
        <v>218</v>
      </c>
      <c r="N62" t="s">
        <v>108</v>
      </c>
      <c r="O62" t="s">
        <v>35</v>
      </c>
      <c r="P62" t="s">
        <v>26</v>
      </c>
      <c r="Q62" t="s">
        <v>26</v>
      </c>
      <c r="R62" t="s">
        <v>26</v>
      </c>
      <c r="S62" t="s">
        <v>47</v>
      </c>
      <c r="T62" t="s">
        <v>26</v>
      </c>
      <c r="U62" t="s">
        <v>26</v>
      </c>
    </row>
    <row r="63" spans="1:21" hidden="1" x14ac:dyDescent="0.45">
      <c r="A63">
        <v>24231</v>
      </c>
      <c r="B63" t="s">
        <v>48</v>
      </c>
      <c r="C63" t="s">
        <v>219</v>
      </c>
      <c r="D63" t="s">
        <v>220</v>
      </c>
      <c r="F63" s="1">
        <v>44305</v>
      </c>
      <c r="G63" s="1">
        <v>44360</v>
      </c>
      <c r="H63" t="s">
        <v>53</v>
      </c>
      <c r="J63" t="s">
        <v>221</v>
      </c>
      <c r="L63" t="s">
        <v>28</v>
      </c>
      <c r="M63" t="s">
        <v>41</v>
      </c>
      <c r="N63">
        <v>40</v>
      </c>
      <c r="O63" t="s">
        <v>35</v>
      </c>
      <c r="P63" s="1">
        <v>44306</v>
      </c>
      <c r="Q63" s="1">
        <v>44318</v>
      </c>
      <c r="R63" s="1">
        <v>44327</v>
      </c>
      <c r="S63" s="1">
        <v>44344</v>
      </c>
      <c r="T63" t="s">
        <v>26</v>
      </c>
      <c r="U63" t="s">
        <v>26</v>
      </c>
    </row>
    <row r="64" spans="1:21" hidden="1" x14ac:dyDescent="0.45">
      <c r="A64">
        <v>24549</v>
      </c>
      <c r="B64" t="s">
        <v>20</v>
      </c>
      <c r="C64" t="s">
        <v>222</v>
      </c>
      <c r="D64" t="s">
        <v>222</v>
      </c>
      <c r="F64" s="1">
        <v>44229</v>
      </c>
      <c r="G64" s="1">
        <v>44329</v>
      </c>
      <c r="H64" t="s">
        <v>32</v>
      </c>
      <c r="J64" t="s">
        <v>223</v>
      </c>
      <c r="L64" t="s">
        <v>32</v>
      </c>
      <c r="M64" t="s">
        <v>32</v>
      </c>
      <c r="N64" t="s">
        <v>32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</row>
    <row r="65" spans="1:21" x14ac:dyDescent="0.45">
      <c r="A65">
        <v>25171</v>
      </c>
      <c r="B65" t="s">
        <v>55</v>
      </c>
      <c r="C65" t="s">
        <v>224</v>
      </c>
      <c r="D65" t="s">
        <v>225</v>
      </c>
      <c r="F65" s="1">
        <v>44349</v>
      </c>
      <c r="G65" s="1">
        <v>44377</v>
      </c>
      <c r="H65" t="s">
        <v>45</v>
      </c>
      <c r="J65" t="s">
        <v>226</v>
      </c>
      <c r="K65" t="s">
        <v>671</v>
      </c>
      <c r="L65" t="s">
        <v>24</v>
      </c>
      <c r="M65" t="s">
        <v>25</v>
      </c>
      <c r="N65">
        <v>500</v>
      </c>
      <c r="O65" t="s">
        <v>35</v>
      </c>
      <c r="P65" s="1">
        <v>44350</v>
      </c>
      <c r="Q65" s="1">
        <v>44362</v>
      </c>
      <c r="R65" t="s">
        <v>26</v>
      </c>
      <c r="S65" t="s">
        <v>26</v>
      </c>
      <c r="T65" s="1">
        <v>44370</v>
      </c>
      <c r="U65" t="s">
        <v>26</v>
      </c>
    </row>
    <row r="66" spans="1:21" hidden="1" x14ac:dyDescent="0.45">
      <c r="A66">
        <v>11100</v>
      </c>
      <c r="B66" t="s">
        <v>227</v>
      </c>
      <c r="C66" t="s">
        <v>228</v>
      </c>
      <c r="D66" t="s">
        <v>229</v>
      </c>
      <c r="F66" s="1">
        <v>44261</v>
      </c>
      <c r="G66" s="1">
        <v>44322</v>
      </c>
      <c r="H66" t="s">
        <v>45</v>
      </c>
      <c r="J66" t="s">
        <v>230</v>
      </c>
      <c r="L66" t="s">
        <v>45</v>
      </c>
      <c r="M66" t="s">
        <v>25</v>
      </c>
      <c r="N66">
        <v>250</v>
      </c>
      <c r="O66" s="1">
        <v>44291</v>
      </c>
      <c r="P66" s="1">
        <v>44302</v>
      </c>
      <c r="Q66" s="1">
        <v>44314</v>
      </c>
      <c r="R66" t="s">
        <v>47</v>
      </c>
      <c r="S66" t="s">
        <v>47</v>
      </c>
      <c r="T66" t="s">
        <v>26</v>
      </c>
      <c r="U66" t="s">
        <v>26</v>
      </c>
    </row>
    <row r="67" spans="1:21" hidden="1" x14ac:dyDescent="0.45">
      <c r="A67">
        <v>24107</v>
      </c>
      <c r="B67" t="s">
        <v>144</v>
      </c>
      <c r="C67" t="s">
        <v>231</v>
      </c>
      <c r="D67" t="s">
        <v>231</v>
      </c>
      <c r="E67" t="s">
        <v>232</v>
      </c>
      <c r="F67" s="1">
        <v>44357</v>
      </c>
      <c r="G67" s="1">
        <v>44425</v>
      </c>
      <c r="H67" t="s">
        <v>53</v>
      </c>
      <c r="J67" t="s">
        <v>233</v>
      </c>
      <c r="L67" t="s">
        <v>28</v>
      </c>
      <c r="M67" t="s">
        <v>25</v>
      </c>
      <c r="N67" t="s">
        <v>234</v>
      </c>
      <c r="O67" t="s">
        <v>35</v>
      </c>
      <c r="P67" s="1">
        <v>44355</v>
      </c>
      <c r="Q67" s="1">
        <v>44367</v>
      </c>
      <c r="R67" t="s">
        <v>235</v>
      </c>
      <c r="S67" s="1">
        <v>44389</v>
      </c>
      <c r="T67" t="s">
        <v>26</v>
      </c>
      <c r="U67" t="s">
        <v>26</v>
      </c>
    </row>
    <row r="68" spans="1:21" hidden="1" x14ac:dyDescent="0.45">
      <c r="A68">
        <v>24261</v>
      </c>
      <c r="B68" t="s">
        <v>144</v>
      </c>
      <c r="C68" t="s">
        <v>236</v>
      </c>
      <c r="D68" t="s">
        <v>236</v>
      </c>
      <c r="F68" s="1">
        <v>44357</v>
      </c>
      <c r="G68" s="1">
        <v>44425</v>
      </c>
      <c r="H68" t="s">
        <v>53</v>
      </c>
      <c r="J68" t="s">
        <v>237</v>
      </c>
      <c r="L68" t="s">
        <v>28</v>
      </c>
      <c r="M68" t="s">
        <v>25</v>
      </c>
      <c r="N68" t="s">
        <v>234</v>
      </c>
      <c r="O68" t="s">
        <v>35</v>
      </c>
      <c r="P68" s="1">
        <v>44347</v>
      </c>
      <c r="Q68" s="1">
        <v>44359</v>
      </c>
      <c r="R68" s="1">
        <v>44375</v>
      </c>
      <c r="S68" s="1">
        <v>44387</v>
      </c>
      <c r="T68" t="s">
        <v>26</v>
      </c>
      <c r="U68" t="s">
        <v>26</v>
      </c>
    </row>
    <row r="69" spans="1:21" hidden="1" x14ac:dyDescent="0.45">
      <c r="A69">
        <v>24263</v>
      </c>
      <c r="B69" t="s">
        <v>144</v>
      </c>
      <c r="C69" t="s">
        <v>238</v>
      </c>
      <c r="D69" t="s">
        <v>238</v>
      </c>
      <c r="F69" s="1">
        <v>44357</v>
      </c>
      <c r="G69" s="1">
        <v>44423</v>
      </c>
      <c r="H69" t="s">
        <v>53</v>
      </c>
      <c r="J69" t="s">
        <v>239</v>
      </c>
      <c r="L69" t="s">
        <v>28</v>
      </c>
      <c r="M69" t="s">
        <v>25</v>
      </c>
      <c r="N69" t="s">
        <v>234</v>
      </c>
      <c r="O69" t="s">
        <v>35</v>
      </c>
      <c r="P69" t="s">
        <v>35</v>
      </c>
      <c r="Q69" t="s">
        <v>35</v>
      </c>
      <c r="R69" s="1">
        <v>44371</v>
      </c>
      <c r="S69" s="1">
        <v>44387</v>
      </c>
      <c r="T69" t="s">
        <v>26</v>
      </c>
      <c r="U69" t="s">
        <v>26</v>
      </c>
    </row>
    <row r="70" spans="1:21" hidden="1" x14ac:dyDescent="0.45">
      <c r="A70">
        <v>24790</v>
      </c>
      <c r="B70" t="s">
        <v>240</v>
      </c>
      <c r="C70" t="s">
        <v>241</v>
      </c>
      <c r="D70" t="s">
        <v>241</v>
      </c>
      <c r="F70" s="1">
        <v>44300</v>
      </c>
      <c r="G70" s="1">
        <v>44397</v>
      </c>
      <c r="H70" t="s">
        <v>53</v>
      </c>
      <c r="J70" t="s">
        <v>242</v>
      </c>
      <c r="L70" t="s">
        <v>28</v>
      </c>
      <c r="M70" t="s">
        <v>108</v>
      </c>
      <c r="N70" t="s">
        <v>108</v>
      </c>
      <c r="O70" s="1">
        <v>44309</v>
      </c>
      <c r="P70" s="1">
        <v>44318</v>
      </c>
      <c r="Q70" s="1">
        <v>44330</v>
      </c>
      <c r="R70" s="1">
        <v>44344</v>
      </c>
      <c r="S70" s="1">
        <v>44371</v>
      </c>
      <c r="T70" t="s">
        <v>26</v>
      </c>
      <c r="U70" t="s">
        <v>26</v>
      </c>
    </row>
    <row r="71" spans="1:21" hidden="1" x14ac:dyDescent="0.45">
      <c r="A71">
        <v>53136</v>
      </c>
      <c r="B71" t="s">
        <v>243</v>
      </c>
      <c r="C71" t="s">
        <v>247</v>
      </c>
      <c r="D71" t="s">
        <v>248</v>
      </c>
      <c r="E71" t="s">
        <v>249</v>
      </c>
      <c r="F71" s="1">
        <v>44643</v>
      </c>
      <c r="G71" s="1">
        <v>44759</v>
      </c>
      <c r="H71" t="s">
        <v>53</v>
      </c>
      <c r="J71" t="s">
        <v>250</v>
      </c>
      <c r="L71" t="s">
        <v>28</v>
      </c>
      <c r="M71" t="s">
        <v>177</v>
      </c>
      <c r="N71" t="s">
        <v>251</v>
      </c>
      <c r="O71" t="s">
        <v>35</v>
      </c>
      <c r="P71" s="1">
        <v>44654</v>
      </c>
      <c r="Q71" s="1">
        <v>44666</v>
      </c>
      <c r="R71" s="1">
        <v>44681</v>
      </c>
      <c r="S71" s="1">
        <v>44703</v>
      </c>
      <c r="T71" t="s">
        <v>26</v>
      </c>
      <c r="U71" t="s">
        <v>26</v>
      </c>
    </row>
    <row r="72" spans="1:21" hidden="1" x14ac:dyDescent="0.45">
      <c r="A72">
        <v>34485</v>
      </c>
      <c r="B72" t="s">
        <v>243</v>
      </c>
      <c r="C72" t="s">
        <v>244</v>
      </c>
      <c r="D72" t="s">
        <v>245</v>
      </c>
      <c r="F72" s="1">
        <v>44643</v>
      </c>
      <c r="G72" s="1">
        <v>44754</v>
      </c>
      <c r="H72" t="s">
        <v>53</v>
      </c>
      <c r="J72" t="s">
        <v>246</v>
      </c>
      <c r="L72" t="s">
        <v>28</v>
      </c>
      <c r="M72" t="s">
        <v>177</v>
      </c>
      <c r="N72" t="s">
        <v>108</v>
      </c>
      <c r="O72" t="s">
        <v>35</v>
      </c>
      <c r="P72" s="1">
        <v>44653</v>
      </c>
      <c r="Q72" s="1">
        <v>44665</v>
      </c>
      <c r="R72" s="1">
        <v>44681</v>
      </c>
      <c r="S72" s="1">
        <v>44704</v>
      </c>
      <c r="T72" t="s">
        <v>26</v>
      </c>
      <c r="U72" t="s">
        <v>26</v>
      </c>
    </row>
    <row r="73" spans="1:21" hidden="1" x14ac:dyDescent="0.45">
      <c r="A73">
        <v>34044</v>
      </c>
      <c r="B73" t="s">
        <v>68</v>
      </c>
      <c r="C73" t="s">
        <v>252</v>
      </c>
      <c r="D73" t="s">
        <v>252</v>
      </c>
      <c r="F73" s="1">
        <v>44669</v>
      </c>
      <c r="G73" s="1">
        <v>44777</v>
      </c>
      <c r="H73" t="s">
        <v>192</v>
      </c>
      <c r="J73" t="s">
        <v>253</v>
      </c>
      <c r="L73" t="s">
        <v>192</v>
      </c>
      <c r="M73" t="s">
        <v>25</v>
      </c>
      <c r="N73">
        <v>4000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</row>
    <row r="74" spans="1:21" hidden="1" x14ac:dyDescent="0.45">
      <c r="A74">
        <v>34079</v>
      </c>
      <c r="B74" t="s">
        <v>68</v>
      </c>
      <c r="C74" t="s">
        <v>254</v>
      </c>
      <c r="D74" t="s">
        <v>254</v>
      </c>
      <c r="F74" s="1">
        <v>44669</v>
      </c>
      <c r="G74" s="1">
        <v>44777</v>
      </c>
      <c r="H74" t="s">
        <v>53</v>
      </c>
      <c r="J74" t="s">
        <v>255</v>
      </c>
      <c r="L74" t="s">
        <v>28</v>
      </c>
      <c r="M74" t="s">
        <v>25</v>
      </c>
      <c r="N74">
        <v>4000</v>
      </c>
      <c r="O74" t="s">
        <v>26</v>
      </c>
      <c r="P74" s="1">
        <v>44700</v>
      </c>
      <c r="Q74" s="1">
        <v>44712</v>
      </c>
      <c r="R74" s="1">
        <v>44728</v>
      </c>
      <c r="S74" s="1">
        <v>44733</v>
      </c>
      <c r="T74" t="s">
        <v>26</v>
      </c>
      <c r="U74" t="s">
        <v>26</v>
      </c>
    </row>
    <row r="75" spans="1:21" hidden="1" x14ac:dyDescent="0.45">
      <c r="A75">
        <v>34111</v>
      </c>
      <c r="B75" t="s">
        <v>104</v>
      </c>
      <c r="C75" t="s">
        <v>256</v>
      </c>
      <c r="D75" t="s">
        <v>256</v>
      </c>
      <c r="F75" s="1">
        <v>44692</v>
      </c>
      <c r="G75" s="1">
        <v>44725</v>
      </c>
      <c r="H75" t="s">
        <v>192</v>
      </c>
      <c r="J75" t="s">
        <v>257</v>
      </c>
      <c r="L75" t="s">
        <v>192</v>
      </c>
      <c r="M75" t="s">
        <v>107</v>
      </c>
      <c r="N75">
        <v>0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</row>
    <row r="76" spans="1:21" hidden="1" x14ac:dyDescent="0.45">
      <c r="A76">
        <v>34113</v>
      </c>
      <c r="B76" t="s">
        <v>104</v>
      </c>
      <c r="C76" t="s">
        <v>261</v>
      </c>
      <c r="D76" t="s">
        <v>261</v>
      </c>
      <c r="E76" t="s">
        <v>262</v>
      </c>
      <c r="F76" s="1">
        <v>44685</v>
      </c>
      <c r="G76" s="1">
        <v>44740</v>
      </c>
      <c r="H76" t="s">
        <v>53</v>
      </c>
      <c r="J76" t="s">
        <v>263</v>
      </c>
      <c r="L76" t="s">
        <v>28</v>
      </c>
      <c r="M76" t="s">
        <v>260</v>
      </c>
      <c r="N76">
        <v>15000</v>
      </c>
      <c r="O76" t="s">
        <v>35</v>
      </c>
      <c r="P76" s="1">
        <v>44691</v>
      </c>
      <c r="Q76" s="1">
        <v>44703</v>
      </c>
      <c r="R76" s="1">
        <v>44713</v>
      </c>
      <c r="S76" s="1">
        <v>44730</v>
      </c>
      <c r="T76" t="s">
        <v>26</v>
      </c>
      <c r="U76" t="s">
        <v>26</v>
      </c>
    </row>
    <row r="77" spans="1:21" hidden="1" x14ac:dyDescent="0.45">
      <c r="A77">
        <v>34112</v>
      </c>
      <c r="B77" t="s">
        <v>104</v>
      </c>
      <c r="C77" t="s">
        <v>258</v>
      </c>
      <c r="D77" t="s">
        <v>258</v>
      </c>
      <c r="F77" s="1">
        <v>44685</v>
      </c>
      <c r="G77" s="1">
        <v>44740</v>
      </c>
      <c r="H77" t="s">
        <v>53</v>
      </c>
      <c r="J77" t="s">
        <v>259</v>
      </c>
      <c r="L77" t="s">
        <v>28</v>
      </c>
      <c r="M77" t="s">
        <v>260</v>
      </c>
      <c r="N77">
        <v>15000</v>
      </c>
      <c r="O77" t="s">
        <v>35</v>
      </c>
      <c r="P77" s="1">
        <v>44690</v>
      </c>
      <c r="Q77" s="1">
        <v>44702</v>
      </c>
      <c r="R77" s="1">
        <v>44712</v>
      </c>
      <c r="S77" s="1">
        <v>44732</v>
      </c>
      <c r="T77" t="s">
        <v>26</v>
      </c>
      <c r="U77" t="s">
        <v>26</v>
      </c>
    </row>
    <row r="78" spans="1:21" x14ac:dyDescent="0.45">
      <c r="A78">
        <v>34115</v>
      </c>
      <c r="B78" t="s">
        <v>104</v>
      </c>
      <c r="C78" t="s">
        <v>264</v>
      </c>
      <c r="D78" t="s">
        <v>265</v>
      </c>
      <c r="F78" s="1">
        <v>44690</v>
      </c>
      <c r="G78" s="1">
        <v>44740</v>
      </c>
      <c r="H78" t="s">
        <v>53</v>
      </c>
      <c r="J78" t="s">
        <v>266</v>
      </c>
      <c r="K78" t="s">
        <v>671</v>
      </c>
      <c r="L78" t="s">
        <v>75</v>
      </c>
      <c r="M78" t="s">
        <v>41</v>
      </c>
      <c r="N78" t="s">
        <v>108</v>
      </c>
      <c r="O78" t="s">
        <v>35</v>
      </c>
      <c r="P78" s="1">
        <v>44692</v>
      </c>
      <c r="Q78" s="1">
        <v>44704</v>
      </c>
      <c r="R78" t="s">
        <v>267</v>
      </c>
      <c r="S78" t="s">
        <v>47</v>
      </c>
      <c r="T78" t="s">
        <v>26</v>
      </c>
      <c r="U78" s="1">
        <v>44701</v>
      </c>
    </row>
    <row r="79" spans="1:21" hidden="1" x14ac:dyDescent="0.45">
      <c r="A79">
        <v>34078</v>
      </c>
      <c r="B79" t="s">
        <v>20</v>
      </c>
      <c r="C79" t="s">
        <v>268</v>
      </c>
      <c r="D79" t="s">
        <v>269</v>
      </c>
      <c r="F79" s="1">
        <v>44605</v>
      </c>
      <c r="G79" s="1">
        <v>44793</v>
      </c>
      <c r="H79" t="s">
        <v>53</v>
      </c>
      <c r="J79" t="s">
        <v>270</v>
      </c>
      <c r="L79" t="s">
        <v>28</v>
      </c>
      <c r="M79" t="s">
        <v>41</v>
      </c>
      <c r="N79">
        <v>1000</v>
      </c>
      <c r="O79" s="1">
        <v>44647</v>
      </c>
      <c r="P79" s="1">
        <v>44654</v>
      </c>
      <c r="Q79" s="1">
        <v>44666</v>
      </c>
      <c r="R79" s="1">
        <v>44679</v>
      </c>
      <c r="S79" s="1">
        <v>44706</v>
      </c>
      <c r="T79" t="s">
        <v>26</v>
      </c>
      <c r="U79" t="s">
        <v>26</v>
      </c>
    </row>
    <row r="80" spans="1:21" hidden="1" x14ac:dyDescent="0.45">
      <c r="A80">
        <v>34118</v>
      </c>
      <c r="B80" t="s">
        <v>104</v>
      </c>
      <c r="C80" t="s">
        <v>271</v>
      </c>
      <c r="D80" t="s">
        <v>271</v>
      </c>
      <c r="F80" s="1">
        <v>44675</v>
      </c>
      <c r="G80" s="1">
        <v>44718</v>
      </c>
      <c r="H80" t="s">
        <v>32</v>
      </c>
      <c r="J80" t="s">
        <v>272</v>
      </c>
      <c r="L80" t="s">
        <v>32</v>
      </c>
      <c r="M80" t="s">
        <v>108</v>
      </c>
      <c r="N80" t="s">
        <v>108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</row>
    <row r="81" spans="1:21" hidden="1" x14ac:dyDescent="0.45">
      <c r="A81">
        <v>34119</v>
      </c>
      <c r="B81" t="s">
        <v>104</v>
      </c>
      <c r="C81" t="s">
        <v>273</v>
      </c>
      <c r="D81" t="s">
        <v>273</v>
      </c>
      <c r="E81" t="s">
        <v>274</v>
      </c>
      <c r="F81" s="1">
        <v>44675</v>
      </c>
      <c r="G81" s="1">
        <v>44718</v>
      </c>
      <c r="H81" t="s">
        <v>32</v>
      </c>
      <c r="J81" t="s">
        <v>275</v>
      </c>
      <c r="L81" t="s">
        <v>32</v>
      </c>
      <c r="M81" t="s">
        <v>108</v>
      </c>
      <c r="N81" t="s">
        <v>108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</row>
    <row r="82" spans="1:21" hidden="1" x14ac:dyDescent="0.45">
      <c r="A82">
        <v>33966</v>
      </c>
      <c r="B82" t="s">
        <v>20</v>
      </c>
      <c r="C82" t="s">
        <v>276</v>
      </c>
      <c r="D82" t="s">
        <v>276</v>
      </c>
      <c r="F82" s="1">
        <v>44605</v>
      </c>
      <c r="G82" s="1">
        <v>44813</v>
      </c>
      <c r="H82" t="s">
        <v>22</v>
      </c>
      <c r="J82" t="s">
        <v>277</v>
      </c>
      <c r="K82" t="s">
        <v>669</v>
      </c>
      <c r="L82" t="s">
        <v>75</v>
      </c>
      <c r="M82" t="s">
        <v>25</v>
      </c>
      <c r="N82">
        <v>4000</v>
      </c>
      <c r="O82" s="1">
        <v>44609</v>
      </c>
      <c r="P82" s="1">
        <v>44651</v>
      </c>
      <c r="Q82" s="1">
        <v>44663</v>
      </c>
      <c r="R82" s="1">
        <v>44678</v>
      </c>
      <c r="S82" s="1">
        <v>44701</v>
      </c>
      <c r="T82" t="s">
        <v>26</v>
      </c>
      <c r="U82" t="s">
        <v>26</v>
      </c>
    </row>
    <row r="83" spans="1:21" hidden="1" x14ac:dyDescent="0.45">
      <c r="A83">
        <v>33966</v>
      </c>
      <c r="B83" t="s">
        <v>20</v>
      </c>
      <c r="C83" t="s">
        <v>276</v>
      </c>
      <c r="D83" t="s">
        <v>276</v>
      </c>
      <c r="F83" s="1">
        <v>44605</v>
      </c>
      <c r="G83" s="1">
        <v>44813</v>
      </c>
      <c r="H83" t="s">
        <v>22</v>
      </c>
      <c r="J83" t="s">
        <v>278</v>
      </c>
      <c r="L83" t="s">
        <v>28</v>
      </c>
      <c r="M83" t="s">
        <v>25</v>
      </c>
      <c r="N83">
        <v>4000</v>
      </c>
      <c r="O83" s="1">
        <v>44671</v>
      </c>
      <c r="P83" s="1">
        <v>44688</v>
      </c>
      <c r="Q83" s="1">
        <v>44700</v>
      </c>
      <c r="R83" s="1">
        <v>44713</v>
      </c>
      <c r="S83" s="1">
        <v>44739</v>
      </c>
      <c r="T83" t="s">
        <v>26</v>
      </c>
      <c r="U83" t="s">
        <v>26</v>
      </c>
    </row>
    <row r="84" spans="1:21" hidden="1" x14ac:dyDescent="0.45">
      <c r="A84">
        <v>34077</v>
      </c>
      <c r="B84" t="s">
        <v>112</v>
      </c>
      <c r="C84" t="s">
        <v>279</v>
      </c>
      <c r="D84" t="s">
        <v>279</v>
      </c>
      <c r="F84" s="1">
        <v>44640</v>
      </c>
      <c r="G84" s="1">
        <v>44753</v>
      </c>
      <c r="H84" t="s">
        <v>22</v>
      </c>
      <c r="J84" t="s">
        <v>280</v>
      </c>
      <c r="L84" t="s">
        <v>28</v>
      </c>
      <c r="M84" t="s">
        <v>25</v>
      </c>
      <c r="N84" t="s">
        <v>108</v>
      </c>
      <c r="O84" s="1">
        <v>44651</v>
      </c>
      <c r="P84" s="1">
        <v>44654</v>
      </c>
      <c r="Q84" s="1">
        <v>44666</v>
      </c>
      <c r="R84" t="s">
        <v>26</v>
      </c>
      <c r="S84" t="s">
        <v>26</v>
      </c>
      <c r="T84" t="s">
        <v>26</v>
      </c>
      <c r="U84" t="s">
        <v>26</v>
      </c>
    </row>
    <row r="85" spans="1:21" hidden="1" x14ac:dyDescent="0.45">
      <c r="A85">
        <v>34077</v>
      </c>
      <c r="B85" t="s">
        <v>112</v>
      </c>
      <c r="C85" t="s">
        <v>279</v>
      </c>
      <c r="D85" t="s">
        <v>279</v>
      </c>
      <c r="F85" s="1">
        <v>44640</v>
      </c>
      <c r="G85" s="1">
        <v>44753</v>
      </c>
      <c r="H85" t="s">
        <v>22</v>
      </c>
      <c r="J85" t="s">
        <v>281</v>
      </c>
      <c r="L85" t="s">
        <v>45</v>
      </c>
      <c r="M85" t="s">
        <v>25</v>
      </c>
      <c r="N85" t="s">
        <v>108</v>
      </c>
      <c r="O85" s="1">
        <v>44684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</row>
    <row r="86" spans="1:21" hidden="1" x14ac:dyDescent="0.45">
      <c r="A86">
        <v>34117</v>
      </c>
      <c r="B86" t="s">
        <v>282</v>
      </c>
      <c r="C86" t="s">
        <v>283</v>
      </c>
      <c r="D86" t="s">
        <v>283</v>
      </c>
      <c r="F86" s="1">
        <v>44666</v>
      </c>
      <c r="G86" s="1">
        <v>44720</v>
      </c>
      <c r="H86" t="s">
        <v>45</v>
      </c>
      <c r="J86" t="s">
        <v>284</v>
      </c>
      <c r="L86" t="s">
        <v>28</v>
      </c>
      <c r="M86" t="s">
        <v>41</v>
      </c>
      <c r="N86" t="s">
        <v>285</v>
      </c>
      <c r="O86" t="s">
        <v>35</v>
      </c>
      <c r="P86" s="1">
        <v>44658</v>
      </c>
      <c r="Q86" s="1">
        <v>44670</v>
      </c>
      <c r="R86" s="1">
        <v>44679</v>
      </c>
      <c r="S86" s="1">
        <v>44709</v>
      </c>
      <c r="T86" t="s">
        <v>26</v>
      </c>
      <c r="U86" t="s">
        <v>26</v>
      </c>
    </row>
    <row r="87" spans="1:21" hidden="1" x14ac:dyDescent="0.45">
      <c r="A87">
        <v>34076</v>
      </c>
      <c r="B87" t="s">
        <v>282</v>
      </c>
      <c r="C87" t="s">
        <v>286</v>
      </c>
      <c r="D87" t="s">
        <v>286</v>
      </c>
      <c r="F87" s="1">
        <v>44666</v>
      </c>
      <c r="G87" s="1">
        <v>44720</v>
      </c>
      <c r="H87" t="s">
        <v>192</v>
      </c>
      <c r="J87" t="s">
        <v>287</v>
      </c>
      <c r="L87" t="s">
        <v>192</v>
      </c>
      <c r="M87" t="s">
        <v>177</v>
      </c>
      <c r="N87" t="s">
        <v>32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</row>
    <row r="88" spans="1:21" hidden="1" x14ac:dyDescent="0.45">
      <c r="A88">
        <v>34075</v>
      </c>
      <c r="B88" t="s">
        <v>288</v>
      </c>
      <c r="C88" t="s">
        <v>289</v>
      </c>
      <c r="D88" t="s">
        <v>289</v>
      </c>
      <c r="F88" s="1">
        <v>44693</v>
      </c>
      <c r="G88" s="1">
        <v>44701</v>
      </c>
      <c r="H88" t="s">
        <v>45</v>
      </c>
      <c r="J88" t="s">
        <v>290</v>
      </c>
      <c r="L88" t="s">
        <v>28</v>
      </c>
      <c r="M88" t="s">
        <v>291</v>
      </c>
      <c r="N88">
        <v>500</v>
      </c>
      <c r="O88" t="s">
        <v>35</v>
      </c>
      <c r="P88" t="s">
        <v>35</v>
      </c>
      <c r="Q88" t="s">
        <v>35</v>
      </c>
      <c r="R88" t="s">
        <v>26</v>
      </c>
      <c r="S88" t="s">
        <v>47</v>
      </c>
      <c r="T88" t="s">
        <v>26</v>
      </c>
      <c r="U88" t="s">
        <v>26</v>
      </c>
    </row>
    <row r="89" spans="1:21" hidden="1" x14ac:dyDescent="0.45">
      <c r="A89">
        <v>33851</v>
      </c>
      <c r="B89" t="s">
        <v>292</v>
      </c>
      <c r="C89" t="s">
        <v>293</v>
      </c>
      <c r="D89" t="s">
        <v>294</v>
      </c>
      <c r="F89" s="1">
        <v>44669</v>
      </c>
      <c r="G89" s="1">
        <v>44721</v>
      </c>
      <c r="H89" t="s">
        <v>32</v>
      </c>
      <c r="J89" t="s">
        <v>295</v>
      </c>
      <c r="L89" t="s">
        <v>32</v>
      </c>
      <c r="M89" t="s">
        <v>296</v>
      </c>
      <c r="N89">
        <v>50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</row>
    <row r="90" spans="1:21" hidden="1" x14ac:dyDescent="0.45">
      <c r="A90">
        <v>34073</v>
      </c>
      <c r="B90" t="s">
        <v>292</v>
      </c>
      <c r="C90" t="s">
        <v>297</v>
      </c>
      <c r="D90" t="s">
        <v>298</v>
      </c>
      <c r="F90" s="1">
        <v>44675</v>
      </c>
      <c r="G90" s="1">
        <v>44715</v>
      </c>
      <c r="H90" t="s">
        <v>53</v>
      </c>
      <c r="J90" t="s">
        <v>299</v>
      </c>
      <c r="L90" t="s">
        <v>28</v>
      </c>
      <c r="M90" t="s">
        <v>177</v>
      </c>
      <c r="N90" t="s">
        <v>300</v>
      </c>
      <c r="O90" t="s">
        <v>26</v>
      </c>
      <c r="P90" t="s">
        <v>301</v>
      </c>
      <c r="Q90" t="s">
        <v>302</v>
      </c>
      <c r="R90" t="s">
        <v>303</v>
      </c>
      <c r="S90" t="s">
        <v>47</v>
      </c>
      <c r="T90" t="s">
        <v>26</v>
      </c>
      <c r="U90" t="s">
        <v>26</v>
      </c>
    </row>
    <row r="91" spans="1:21" hidden="1" x14ac:dyDescent="0.45">
      <c r="A91">
        <v>34072</v>
      </c>
      <c r="B91" t="s">
        <v>144</v>
      </c>
      <c r="C91" t="s">
        <v>306</v>
      </c>
      <c r="D91" t="s">
        <v>306</v>
      </c>
      <c r="E91" t="s">
        <v>307</v>
      </c>
      <c r="F91" s="1">
        <v>44662</v>
      </c>
      <c r="G91" s="1">
        <v>44776</v>
      </c>
      <c r="H91" t="s">
        <v>53</v>
      </c>
      <c r="J91" t="s">
        <v>308</v>
      </c>
      <c r="L91" t="s">
        <v>28</v>
      </c>
      <c r="M91" t="s">
        <v>25</v>
      </c>
      <c r="N91">
        <v>4000</v>
      </c>
      <c r="O91" t="s">
        <v>35</v>
      </c>
      <c r="P91" s="1">
        <v>44661</v>
      </c>
      <c r="Q91" s="1">
        <v>44673</v>
      </c>
      <c r="R91" s="1">
        <v>44690</v>
      </c>
      <c r="S91" s="1">
        <v>44716</v>
      </c>
      <c r="T91" t="s">
        <v>26</v>
      </c>
      <c r="U91" t="s">
        <v>26</v>
      </c>
    </row>
    <row r="92" spans="1:21" hidden="1" x14ac:dyDescent="0.45">
      <c r="A92">
        <v>34071</v>
      </c>
      <c r="B92" t="s">
        <v>144</v>
      </c>
      <c r="C92" t="s">
        <v>304</v>
      </c>
      <c r="D92" t="s">
        <v>304</v>
      </c>
      <c r="F92" s="1">
        <v>44661</v>
      </c>
      <c r="G92" s="1">
        <v>44779</v>
      </c>
      <c r="H92" t="s">
        <v>53</v>
      </c>
      <c r="J92" t="s">
        <v>305</v>
      </c>
      <c r="L92" t="s">
        <v>28</v>
      </c>
      <c r="M92" t="s">
        <v>25</v>
      </c>
      <c r="N92">
        <v>4000</v>
      </c>
      <c r="O92" t="s">
        <v>35</v>
      </c>
      <c r="P92" s="1">
        <v>44661</v>
      </c>
      <c r="Q92" s="1">
        <v>44673</v>
      </c>
      <c r="R92" s="1">
        <v>44689</v>
      </c>
      <c r="S92" s="1">
        <v>44709</v>
      </c>
      <c r="T92" t="s">
        <v>26</v>
      </c>
      <c r="U92" t="s">
        <v>26</v>
      </c>
    </row>
    <row r="93" spans="1:21" hidden="1" x14ac:dyDescent="0.45">
      <c r="A93">
        <v>52598</v>
      </c>
      <c r="B93" t="s">
        <v>144</v>
      </c>
      <c r="C93" t="s">
        <v>309</v>
      </c>
      <c r="D93" t="s">
        <v>310</v>
      </c>
      <c r="F93" s="1">
        <v>44642</v>
      </c>
      <c r="G93" s="1">
        <v>44665</v>
      </c>
      <c r="H93" t="s">
        <v>32</v>
      </c>
      <c r="J93" t="s">
        <v>311</v>
      </c>
      <c r="L93" t="s">
        <v>32</v>
      </c>
      <c r="M93" t="s">
        <v>108</v>
      </c>
      <c r="N93" t="s">
        <v>108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</row>
    <row r="94" spans="1:21" hidden="1" x14ac:dyDescent="0.45">
      <c r="A94">
        <v>34130</v>
      </c>
      <c r="B94" t="s">
        <v>144</v>
      </c>
      <c r="C94" t="s">
        <v>312</v>
      </c>
      <c r="D94" t="s">
        <v>313</v>
      </c>
      <c r="F94" s="1">
        <v>44665</v>
      </c>
      <c r="G94" s="1">
        <v>44735</v>
      </c>
      <c r="H94" t="s">
        <v>53</v>
      </c>
      <c r="J94" t="s">
        <v>314</v>
      </c>
      <c r="L94" t="s">
        <v>28</v>
      </c>
      <c r="M94" t="s">
        <v>108</v>
      </c>
      <c r="N94" t="s">
        <v>108</v>
      </c>
      <c r="O94" t="s">
        <v>35</v>
      </c>
      <c r="P94" s="1">
        <v>44659</v>
      </c>
      <c r="Q94" s="1">
        <v>44671</v>
      </c>
      <c r="R94" s="1">
        <v>44682</v>
      </c>
      <c r="S94" s="1">
        <v>44697</v>
      </c>
      <c r="T94" t="s">
        <v>26</v>
      </c>
      <c r="U94" t="s">
        <v>26</v>
      </c>
    </row>
    <row r="95" spans="1:21" hidden="1" x14ac:dyDescent="0.45">
      <c r="A95">
        <v>52597</v>
      </c>
      <c r="B95" t="s">
        <v>144</v>
      </c>
      <c r="C95" t="s">
        <v>315</v>
      </c>
      <c r="D95" t="s">
        <v>316</v>
      </c>
      <c r="F95" s="1">
        <v>44638</v>
      </c>
      <c r="G95" s="1">
        <v>44735</v>
      </c>
      <c r="H95" t="s">
        <v>53</v>
      </c>
      <c r="J95" t="s">
        <v>317</v>
      </c>
      <c r="L95" t="s">
        <v>28</v>
      </c>
      <c r="M95" t="s">
        <v>108</v>
      </c>
      <c r="N95" t="s">
        <v>108</v>
      </c>
      <c r="O95" s="1">
        <v>44642</v>
      </c>
      <c r="P95" s="1">
        <v>44659</v>
      </c>
      <c r="Q95" s="1">
        <v>44671</v>
      </c>
      <c r="R95" s="1">
        <v>44684</v>
      </c>
      <c r="S95" s="1">
        <v>44702</v>
      </c>
      <c r="T95" t="s">
        <v>26</v>
      </c>
      <c r="U95" t="s">
        <v>26</v>
      </c>
    </row>
    <row r="96" spans="1:21" hidden="1" x14ac:dyDescent="0.45">
      <c r="A96">
        <v>34012</v>
      </c>
      <c r="B96" t="s">
        <v>104</v>
      </c>
      <c r="C96" t="s">
        <v>318</v>
      </c>
      <c r="D96" t="s">
        <v>319</v>
      </c>
      <c r="F96" s="1">
        <v>44685</v>
      </c>
      <c r="G96" s="1">
        <v>44740</v>
      </c>
      <c r="H96" t="s">
        <v>187</v>
      </c>
      <c r="I96" t="s">
        <v>188</v>
      </c>
      <c r="J96" t="s">
        <v>320</v>
      </c>
      <c r="L96" t="s">
        <v>28</v>
      </c>
      <c r="M96" t="s">
        <v>41</v>
      </c>
      <c r="N96">
        <v>9000</v>
      </c>
      <c r="O96" t="s">
        <v>35</v>
      </c>
      <c r="P96" t="s">
        <v>35</v>
      </c>
      <c r="Q96" t="s">
        <v>35</v>
      </c>
      <c r="R96" s="1">
        <v>44693</v>
      </c>
      <c r="S96" s="1">
        <v>44712</v>
      </c>
      <c r="T96" t="s">
        <v>26</v>
      </c>
      <c r="U96" t="s">
        <v>26</v>
      </c>
    </row>
    <row r="97" spans="1:21" hidden="1" x14ac:dyDescent="0.45">
      <c r="A97">
        <v>34012</v>
      </c>
      <c r="B97" t="s">
        <v>104</v>
      </c>
      <c r="C97" t="s">
        <v>318</v>
      </c>
      <c r="D97" t="s">
        <v>319</v>
      </c>
      <c r="F97" s="1">
        <v>44685</v>
      </c>
      <c r="G97" s="1">
        <v>44740</v>
      </c>
      <c r="H97" t="s">
        <v>187</v>
      </c>
      <c r="I97" t="s">
        <v>188</v>
      </c>
      <c r="J97" t="s">
        <v>321</v>
      </c>
      <c r="L97" t="s">
        <v>28</v>
      </c>
      <c r="M97" t="s">
        <v>41</v>
      </c>
      <c r="N97">
        <v>9000</v>
      </c>
      <c r="O97" t="s">
        <v>26</v>
      </c>
      <c r="P97" s="1">
        <v>44691</v>
      </c>
      <c r="Q97" s="1">
        <v>44703</v>
      </c>
      <c r="R97" s="1">
        <v>44719</v>
      </c>
      <c r="S97" t="s">
        <v>47</v>
      </c>
      <c r="T97" t="s">
        <v>26</v>
      </c>
      <c r="U97" t="s">
        <v>26</v>
      </c>
    </row>
    <row r="98" spans="1:21" hidden="1" x14ac:dyDescent="0.45">
      <c r="A98">
        <v>34013</v>
      </c>
      <c r="B98" t="s">
        <v>104</v>
      </c>
      <c r="C98" t="s">
        <v>322</v>
      </c>
      <c r="D98" t="s">
        <v>323</v>
      </c>
      <c r="E98" t="s">
        <v>324</v>
      </c>
      <c r="F98" s="1">
        <v>44692</v>
      </c>
      <c r="G98" s="1">
        <v>44740</v>
      </c>
      <c r="H98" t="s">
        <v>53</v>
      </c>
      <c r="J98" t="s">
        <v>325</v>
      </c>
      <c r="L98" t="s">
        <v>28</v>
      </c>
      <c r="M98" t="s">
        <v>41</v>
      </c>
      <c r="N98">
        <v>9000</v>
      </c>
      <c r="O98" t="s">
        <v>35</v>
      </c>
      <c r="P98" s="1">
        <v>44693</v>
      </c>
      <c r="Q98" s="1">
        <v>44705</v>
      </c>
      <c r="R98" s="1">
        <v>44713</v>
      </c>
      <c r="S98" t="s">
        <v>47</v>
      </c>
      <c r="T98" t="s">
        <v>26</v>
      </c>
      <c r="U98" t="s">
        <v>26</v>
      </c>
    </row>
    <row r="99" spans="1:21" hidden="1" x14ac:dyDescent="0.45">
      <c r="A99">
        <v>34131</v>
      </c>
      <c r="B99" t="s">
        <v>326</v>
      </c>
      <c r="C99" t="s">
        <v>327</v>
      </c>
      <c r="D99" t="s">
        <v>328</v>
      </c>
      <c r="F99" s="1">
        <v>44670</v>
      </c>
      <c r="G99" s="1">
        <v>44715</v>
      </c>
      <c r="H99" t="s">
        <v>39</v>
      </c>
      <c r="J99" t="s">
        <v>329</v>
      </c>
      <c r="L99" t="s">
        <v>28</v>
      </c>
      <c r="M99" t="s">
        <v>330</v>
      </c>
      <c r="N99" s="2">
        <v>35000</v>
      </c>
      <c r="O99" t="s">
        <v>35</v>
      </c>
      <c r="P99" s="1">
        <v>44669</v>
      </c>
      <c r="Q99" s="1">
        <v>44681</v>
      </c>
      <c r="R99" s="1">
        <v>44689</v>
      </c>
      <c r="S99" s="1">
        <v>44709</v>
      </c>
      <c r="T99" t="s">
        <v>26</v>
      </c>
      <c r="U99" t="s">
        <v>26</v>
      </c>
    </row>
    <row r="100" spans="1:21" hidden="1" x14ac:dyDescent="0.45">
      <c r="A100">
        <v>34133</v>
      </c>
      <c r="B100" t="s">
        <v>326</v>
      </c>
      <c r="C100" t="s">
        <v>331</v>
      </c>
      <c r="D100" t="s">
        <v>332</v>
      </c>
      <c r="F100" s="1">
        <v>44670</v>
      </c>
      <c r="G100" s="1">
        <v>44683</v>
      </c>
      <c r="H100" t="s">
        <v>39</v>
      </c>
      <c r="J100" t="s">
        <v>333</v>
      </c>
      <c r="L100" t="s">
        <v>28</v>
      </c>
      <c r="M100" t="s">
        <v>330</v>
      </c>
      <c r="N100" t="s">
        <v>108</v>
      </c>
      <c r="O100" t="s">
        <v>35</v>
      </c>
      <c r="P100" t="s">
        <v>35</v>
      </c>
      <c r="Q100" t="s">
        <v>35</v>
      </c>
      <c r="R100" s="1">
        <v>44676</v>
      </c>
      <c r="S100" t="s">
        <v>47</v>
      </c>
      <c r="T100" t="s">
        <v>26</v>
      </c>
      <c r="U100" t="s">
        <v>26</v>
      </c>
    </row>
    <row r="101" spans="1:21" hidden="1" x14ac:dyDescent="0.45">
      <c r="A101">
        <v>34132</v>
      </c>
      <c r="B101" t="s">
        <v>326</v>
      </c>
      <c r="C101" t="s">
        <v>334</v>
      </c>
      <c r="D101" t="s">
        <v>335</v>
      </c>
      <c r="F101" s="1">
        <v>44670</v>
      </c>
      <c r="G101" s="1">
        <v>44715</v>
      </c>
      <c r="H101" t="s">
        <v>39</v>
      </c>
      <c r="J101" t="s">
        <v>336</v>
      </c>
      <c r="L101" t="s">
        <v>28</v>
      </c>
      <c r="M101" t="s">
        <v>337</v>
      </c>
      <c r="N101" t="s">
        <v>108</v>
      </c>
      <c r="O101" t="s">
        <v>35</v>
      </c>
      <c r="P101" t="s">
        <v>35</v>
      </c>
      <c r="Q101" t="s">
        <v>35</v>
      </c>
      <c r="R101" s="1">
        <v>44690</v>
      </c>
      <c r="S101" s="1">
        <v>44707</v>
      </c>
      <c r="T101" t="s">
        <v>26</v>
      </c>
      <c r="U101" t="s">
        <v>26</v>
      </c>
    </row>
    <row r="102" spans="1:21" hidden="1" x14ac:dyDescent="0.45">
      <c r="A102">
        <v>34045</v>
      </c>
      <c r="B102" t="s">
        <v>215</v>
      </c>
      <c r="C102" t="s">
        <v>338</v>
      </c>
      <c r="D102" t="s">
        <v>338</v>
      </c>
      <c r="F102" s="1">
        <v>44622</v>
      </c>
      <c r="G102" s="1">
        <v>44744</v>
      </c>
      <c r="H102" t="s">
        <v>39</v>
      </c>
      <c r="J102" t="s">
        <v>339</v>
      </c>
      <c r="L102" t="s">
        <v>28</v>
      </c>
      <c r="M102" t="s">
        <v>108</v>
      </c>
      <c r="N102" t="s">
        <v>108</v>
      </c>
      <c r="O102" s="1">
        <v>44640</v>
      </c>
      <c r="P102" s="1">
        <v>44653</v>
      </c>
      <c r="Q102" s="1">
        <v>44665</v>
      </c>
      <c r="R102" s="1">
        <v>44678</v>
      </c>
      <c r="S102" t="s">
        <v>47</v>
      </c>
      <c r="T102" t="s">
        <v>26</v>
      </c>
      <c r="U102" t="s">
        <v>26</v>
      </c>
    </row>
    <row r="103" spans="1:21" hidden="1" x14ac:dyDescent="0.45">
      <c r="A103">
        <v>34046</v>
      </c>
      <c r="B103" t="s">
        <v>55</v>
      </c>
      <c r="C103" t="s">
        <v>340</v>
      </c>
      <c r="D103" t="s">
        <v>341</v>
      </c>
      <c r="F103" s="1">
        <v>44691</v>
      </c>
      <c r="G103" s="1">
        <v>44739</v>
      </c>
      <c r="H103" t="s">
        <v>39</v>
      </c>
      <c r="J103" t="s">
        <v>342</v>
      </c>
      <c r="L103" t="s">
        <v>28</v>
      </c>
      <c r="M103" t="s">
        <v>177</v>
      </c>
      <c r="N103">
        <v>800</v>
      </c>
      <c r="O103" t="s">
        <v>35</v>
      </c>
      <c r="P103" s="1">
        <v>44695</v>
      </c>
      <c r="Q103" s="1">
        <v>44707</v>
      </c>
      <c r="R103" t="s">
        <v>343</v>
      </c>
      <c r="S103" t="s">
        <v>47</v>
      </c>
      <c r="T103" t="s">
        <v>26</v>
      </c>
      <c r="U103" t="s">
        <v>26</v>
      </c>
    </row>
    <row r="104" spans="1:21" hidden="1" x14ac:dyDescent="0.45">
      <c r="A104">
        <v>34090</v>
      </c>
      <c r="B104" t="s">
        <v>112</v>
      </c>
      <c r="C104" t="s">
        <v>344</v>
      </c>
      <c r="D104" t="s">
        <v>345</v>
      </c>
      <c r="F104" s="1">
        <v>44641</v>
      </c>
      <c r="G104" s="1">
        <v>44789</v>
      </c>
      <c r="H104" t="s">
        <v>39</v>
      </c>
      <c r="J104" t="s">
        <v>346</v>
      </c>
      <c r="L104" t="s">
        <v>28</v>
      </c>
      <c r="M104" t="s">
        <v>108</v>
      </c>
      <c r="N104">
        <v>400</v>
      </c>
      <c r="O104" s="1">
        <v>44664</v>
      </c>
      <c r="P104" s="1">
        <v>44671</v>
      </c>
      <c r="Q104" s="1">
        <v>44683</v>
      </c>
      <c r="R104" s="1">
        <v>44701</v>
      </c>
      <c r="S104" s="1">
        <v>44740</v>
      </c>
      <c r="T104" t="s">
        <v>26</v>
      </c>
      <c r="U104" t="s">
        <v>26</v>
      </c>
    </row>
    <row r="105" spans="1:21" hidden="1" x14ac:dyDescent="0.45">
      <c r="A105">
        <v>33985</v>
      </c>
      <c r="B105" t="s">
        <v>227</v>
      </c>
      <c r="C105" t="s">
        <v>347</v>
      </c>
      <c r="D105" t="s">
        <v>348</v>
      </c>
      <c r="F105" s="1">
        <v>44640</v>
      </c>
      <c r="G105" s="1">
        <v>44754</v>
      </c>
      <c r="H105" t="s">
        <v>22</v>
      </c>
      <c r="J105" t="s">
        <v>349</v>
      </c>
      <c r="L105" t="s">
        <v>28</v>
      </c>
      <c r="M105" t="s">
        <v>25</v>
      </c>
      <c r="N105">
        <v>200</v>
      </c>
      <c r="O105" t="s">
        <v>35</v>
      </c>
      <c r="P105" s="1">
        <v>44649</v>
      </c>
      <c r="Q105" s="1">
        <v>44661</v>
      </c>
      <c r="R105" s="1">
        <v>44677</v>
      </c>
      <c r="S105" s="1">
        <v>44694</v>
      </c>
      <c r="T105" t="s">
        <v>26</v>
      </c>
      <c r="U105" t="s">
        <v>26</v>
      </c>
    </row>
    <row r="106" spans="1:21" hidden="1" x14ac:dyDescent="0.45">
      <c r="A106">
        <v>33985</v>
      </c>
      <c r="B106" t="s">
        <v>227</v>
      </c>
      <c r="C106" t="s">
        <v>347</v>
      </c>
      <c r="D106" t="s">
        <v>348</v>
      </c>
      <c r="F106" s="1">
        <v>44640</v>
      </c>
      <c r="G106" s="1">
        <v>44754</v>
      </c>
      <c r="H106" t="s">
        <v>22</v>
      </c>
      <c r="J106" t="s">
        <v>350</v>
      </c>
      <c r="L106" t="s">
        <v>28</v>
      </c>
      <c r="M106" t="s">
        <v>25</v>
      </c>
      <c r="N106">
        <v>200</v>
      </c>
      <c r="O106" s="1">
        <v>44682</v>
      </c>
      <c r="P106" s="1">
        <v>44690</v>
      </c>
      <c r="Q106" s="1">
        <v>44702</v>
      </c>
      <c r="R106" s="1">
        <v>44715</v>
      </c>
      <c r="S106" s="1">
        <v>44729</v>
      </c>
      <c r="T106" t="s">
        <v>26</v>
      </c>
      <c r="U106" t="s">
        <v>26</v>
      </c>
    </row>
    <row r="107" spans="1:21" hidden="1" x14ac:dyDescent="0.45">
      <c r="A107">
        <v>33984</v>
      </c>
      <c r="B107" t="s">
        <v>351</v>
      </c>
      <c r="C107" t="s">
        <v>352</v>
      </c>
      <c r="D107" t="s">
        <v>353</v>
      </c>
      <c r="F107" s="1">
        <v>44638</v>
      </c>
      <c r="G107" s="1">
        <v>44755</v>
      </c>
      <c r="H107" t="s">
        <v>199</v>
      </c>
      <c r="J107" t="s">
        <v>354</v>
      </c>
      <c r="L107" t="s">
        <v>28</v>
      </c>
      <c r="M107" t="s">
        <v>355</v>
      </c>
      <c r="N107">
        <v>200</v>
      </c>
      <c r="O107" s="1">
        <v>44682</v>
      </c>
      <c r="P107" t="s">
        <v>356</v>
      </c>
      <c r="Q107" t="s">
        <v>357</v>
      </c>
      <c r="R107" s="1">
        <v>44711</v>
      </c>
      <c r="S107" t="s">
        <v>26</v>
      </c>
      <c r="T107" t="s">
        <v>26</v>
      </c>
      <c r="U107" t="s">
        <v>26</v>
      </c>
    </row>
    <row r="108" spans="1:21" hidden="1" x14ac:dyDescent="0.45">
      <c r="A108">
        <v>33984</v>
      </c>
      <c r="B108" t="s">
        <v>351</v>
      </c>
      <c r="C108" t="s">
        <v>352</v>
      </c>
      <c r="D108" t="s">
        <v>353</v>
      </c>
      <c r="F108" s="1">
        <v>44638</v>
      </c>
      <c r="G108" s="1">
        <v>44755</v>
      </c>
      <c r="H108" t="s">
        <v>199</v>
      </c>
      <c r="J108" t="s">
        <v>358</v>
      </c>
      <c r="L108" t="s">
        <v>28</v>
      </c>
      <c r="M108" t="s">
        <v>355</v>
      </c>
      <c r="N108">
        <v>200</v>
      </c>
      <c r="O108" s="1">
        <v>44699</v>
      </c>
      <c r="P108" s="1">
        <v>44707</v>
      </c>
      <c r="Q108" s="1">
        <v>44719</v>
      </c>
      <c r="R108" t="s">
        <v>26</v>
      </c>
      <c r="S108" s="1">
        <v>44752</v>
      </c>
      <c r="T108" t="s">
        <v>26</v>
      </c>
      <c r="U108" t="s">
        <v>26</v>
      </c>
    </row>
    <row r="109" spans="1:21" hidden="1" x14ac:dyDescent="0.45">
      <c r="A109">
        <v>33845</v>
      </c>
      <c r="B109" t="s">
        <v>351</v>
      </c>
      <c r="C109" t="s">
        <v>359</v>
      </c>
      <c r="D109" t="s">
        <v>360</v>
      </c>
      <c r="F109" s="1">
        <v>44708</v>
      </c>
      <c r="G109" s="1">
        <v>44774</v>
      </c>
      <c r="H109" t="s">
        <v>45</v>
      </c>
      <c r="J109" t="s">
        <v>361</v>
      </c>
      <c r="L109" t="s">
        <v>28</v>
      </c>
      <c r="M109" t="s">
        <v>355</v>
      </c>
      <c r="N109" t="s">
        <v>362</v>
      </c>
      <c r="O109" t="s">
        <v>35</v>
      </c>
      <c r="P109" t="s">
        <v>35</v>
      </c>
      <c r="Q109" t="s">
        <v>35</v>
      </c>
      <c r="R109" t="s">
        <v>35</v>
      </c>
      <c r="S109" s="1">
        <v>44714</v>
      </c>
      <c r="T109" t="s">
        <v>26</v>
      </c>
      <c r="U109" t="s">
        <v>26</v>
      </c>
    </row>
    <row r="110" spans="1:21" hidden="1" x14ac:dyDescent="0.45">
      <c r="A110">
        <v>34088</v>
      </c>
      <c r="B110" t="s">
        <v>240</v>
      </c>
      <c r="C110" t="s">
        <v>363</v>
      </c>
      <c r="D110" t="s">
        <v>364</v>
      </c>
      <c r="F110" s="1">
        <v>44631</v>
      </c>
      <c r="G110" s="1">
        <v>44707</v>
      </c>
      <c r="H110" t="s">
        <v>32</v>
      </c>
      <c r="J110" t="s">
        <v>365</v>
      </c>
      <c r="L110" t="s">
        <v>32</v>
      </c>
      <c r="M110" t="s">
        <v>183</v>
      </c>
      <c r="N110" t="s">
        <v>32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</row>
    <row r="111" spans="1:21" hidden="1" x14ac:dyDescent="0.45">
      <c r="A111">
        <v>34087</v>
      </c>
      <c r="B111" t="s">
        <v>240</v>
      </c>
      <c r="C111" t="s">
        <v>366</v>
      </c>
      <c r="D111" t="s">
        <v>367</v>
      </c>
      <c r="F111" s="1">
        <v>44615</v>
      </c>
      <c r="G111" s="1">
        <v>44790</v>
      </c>
      <c r="H111" t="s">
        <v>39</v>
      </c>
      <c r="J111" t="s">
        <v>368</v>
      </c>
      <c r="L111" t="s">
        <v>28</v>
      </c>
      <c r="M111" t="s">
        <v>183</v>
      </c>
      <c r="N111" t="s">
        <v>369</v>
      </c>
      <c r="O111" s="1">
        <v>44627</v>
      </c>
      <c r="P111" t="s">
        <v>370</v>
      </c>
      <c r="Q111" t="s">
        <v>371</v>
      </c>
      <c r="R111" s="1">
        <v>44683</v>
      </c>
      <c r="S111" s="1">
        <v>44715</v>
      </c>
      <c r="T111" t="s">
        <v>26</v>
      </c>
      <c r="U111" t="s">
        <v>26</v>
      </c>
    </row>
    <row r="112" spans="1:21" hidden="1" x14ac:dyDescent="0.45">
      <c r="A112">
        <v>48459</v>
      </c>
      <c r="B112" t="s">
        <v>104</v>
      </c>
      <c r="C112" t="s">
        <v>372</v>
      </c>
      <c r="D112" t="s">
        <v>373</v>
      </c>
      <c r="F112" s="1">
        <v>45041</v>
      </c>
      <c r="G112" s="1">
        <v>45095</v>
      </c>
      <c r="H112" t="s">
        <v>53</v>
      </c>
      <c r="J112" t="s">
        <v>374</v>
      </c>
      <c r="L112" t="s">
        <v>28</v>
      </c>
      <c r="M112" t="s">
        <v>41</v>
      </c>
      <c r="N112" t="s">
        <v>108</v>
      </c>
      <c r="O112" t="s">
        <v>35</v>
      </c>
      <c r="P112" s="1">
        <v>45045</v>
      </c>
      <c r="Q112" s="1">
        <v>45057</v>
      </c>
      <c r="R112" s="1">
        <v>45067</v>
      </c>
      <c r="S112" s="1">
        <v>45076</v>
      </c>
      <c r="T112" t="s">
        <v>26</v>
      </c>
      <c r="U112" t="s">
        <v>26</v>
      </c>
    </row>
    <row r="113" spans="1:21" hidden="1" x14ac:dyDescent="0.45">
      <c r="A113">
        <v>48395</v>
      </c>
      <c r="B113" t="s">
        <v>243</v>
      </c>
      <c r="C113" t="s">
        <v>375</v>
      </c>
      <c r="D113" t="s">
        <v>376</v>
      </c>
      <c r="F113" s="1">
        <v>45030</v>
      </c>
      <c r="G113" s="1">
        <v>45160</v>
      </c>
      <c r="H113" t="s">
        <v>45</v>
      </c>
      <c r="J113" t="s">
        <v>377</v>
      </c>
      <c r="L113" t="s">
        <v>28</v>
      </c>
      <c r="M113" t="s">
        <v>177</v>
      </c>
      <c r="N113" t="s">
        <v>378</v>
      </c>
      <c r="O113" t="s">
        <v>35</v>
      </c>
      <c r="P113" t="s">
        <v>35</v>
      </c>
      <c r="Q113" t="s">
        <v>35</v>
      </c>
      <c r="R113" s="1">
        <v>45047</v>
      </c>
      <c r="S113" s="1">
        <v>45135</v>
      </c>
      <c r="T113" t="s">
        <v>26</v>
      </c>
      <c r="U113" t="s">
        <v>26</v>
      </c>
    </row>
    <row r="114" spans="1:21" x14ac:dyDescent="0.45">
      <c r="A114">
        <v>48455</v>
      </c>
      <c r="B114" t="s">
        <v>68</v>
      </c>
      <c r="C114" t="s">
        <v>379</v>
      </c>
      <c r="D114" t="s">
        <v>379</v>
      </c>
      <c r="F114" s="1">
        <v>45078</v>
      </c>
      <c r="G114" s="1">
        <v>45139</v>
      </c>
      <c r="H114" t="s">
        <v>53</v>
      </c>
      <c r="J114" t="s">
        <v>380</v>
      </c>
      <c r="K114" t="s">
        <v>671</v>
      </c>
      <c r="L114" t="s">
        <v>75</v>
      </c>
      <c r="M114" t="s">
        <v>25</v>
      </c>
      <c r="N114" s="2">
        <v>2000</v>
      </c>
      <c r="O114" s="1">
        <v>45096</v>
      </c>
      <c r="P114" s="1">
        <v>45111</v>
      </c>
      <c r="Q114" s="1">
        <v>45123</v>
      </c>
      <c r="R114" s="1">
        <v>45134</v>
      </c>
      <c r="S114" t="s">
        <v>47</v>
      </c>
      <c r="T114" t="s">
        <v>26</v>
      </c>
      <c r="U114" s="1">
        <v>45131</v>
      </c>
    </row>
    <row r="115" spans="1:21" hidden="1" x14ac:dyDescent="0.45">
      <c r="A115">
        <v>58629</v>
      </c>
      <c r="B115" t="s">
        <v>68</v>
      </c>
      <c r="C115" t="s">
        <v>381</v>
      </c>
      <c r="D115" t="s">
        <v>381</v>
      </c>
      <c r="F115" s="1">
        <v>45078</v>
      </c>
      <c r="G115" s="1">
        <v>45139</v>
      </c>
      <c r="H115" t="s">
        <v>53</v>
      </c>
      <c r="J115" t="s">
        <v>382</v>
      </c>
      <c r="L115" t="s">
        <v>28</v>
      </c>
      <c r="M115" t="s">
        <v>25</v>
      </c>
      <c r="N115" s="2">
        <v>20000</v>
      </c>
      <c r="O115" t="s">
        <v>35</v>
      </c>
      <c r="P115" s="1">
        <v>45085</v>
      </c>
      <c r="Q115" s="1">
        <v>45097</v>
      </c>
      <c r="R115" s="1">
        <v>45106</v>
      </c>
      <c r="S115" s="1">
        <v>45131</v>
      </c>
      <c r="T115" t="s">
        <v>26</v>
      </c>
      <c r="U115" t="s">
        <v>26</v>
      </c>
    </row>
    <row r="116" spans="1:21" hidden="1" x14ac:dyDescent="0.45">
      <c r="A116">
        <v>48473</v>
      </c>
      <c r="B116" t="s">
        <v>104</v>
      </c>
      <c r="C116" t="s">
        <v>383</v>
      </c>
      <c r="D116" t="s">
        <v>384</v>
      </c>
      <c r="F116" s="1">
        <v>45070</v>
      </c>
      <c r="G116" s="1">
        <v>45112</v>
      </c>
      <c r="H116" t="s">
        <v>53</v>
      </c>
      <c r="J116" t="s">
        <v>385</v>
      </c>
      <c r="L116" t="s">
        <v>28</v>
      </c>
      <c r="M116" t="s">
        <v>41</v>
      </c>
      <c r="N116">
        <v>5000</v>
      </c>
      <c r="O116" s="1">
        <v>45072</v>
      </c>
      <c r="P116" s="1">
        <v>45078</v>
      </c>
      <c r="Q116" s="1">
        <v>45090</v>
      </c>
      <c r="R116" s="1">
        <v>45100</v>
      </c>
      <c r="S116" s="1">
        <v>45107</v>
      </c>
      <c r="T116" t="s">
        <v>26</v>
      </c>
      <c r="U116" t="s">
        <v>26</v>
      </c>
    </row>
    <row r="117" spans="1:21" hidden="1" x14ac:dyDescent="0.45">
      <c r="A117">
        <v>48474</v>
      </c>
      <c r="B117" t="s">
        <v>104</v>
      </c>
      <c r="C117" t="s">
        <v>386</v>
      </c>
      <c r="D117" t="s">
        <v>386</v>
      </c>
      <c r="F117" s="1">
        <v>45072</v>
      </c>
      <c r="G117" s="1">
        <v>45118</v>
      </c>
      <c r="H117" t="s">
        <v>53</v>
      </c>
      <c r="J117" t="s">
        <v>387</v>
      </c>
      <c r="L117" t="s">
        <v>28</v>
      </c>
      <c r="M117" t="s">
        <v>41</v>
      </c>
      <c r="N117">
        <v>9000</v>
      </c>
      <c r="O117" t="s">
        <v>35</v>
      </c>
      <c r="P117" s="1">
        <v>45076</v>
      </c>
      <c r="Q117" s="1">
        <v>45088</v>
      </c>
      <c r="R117" s="1">
        <v>45102</v>
      </c>
      <c r="S117" s="1">
        <v>45108</v>
      </c>
      <c r="T117" t="s">
        <v>388</v>
      </c>
      <c r="U117" t="s">
        <v>26</v>
      </c>
    </row>
    <row r="118" spans="1:21" hidden="1" x14ac:dyDescent="0.45">
      <c r="A118">
        <v>48477</v>
      </c>
      <c r="B118" t="s">
        <v>104</v>
      </c>
      <c r="C118" t="s">
        <v>389</v>
      </c>
      <c r="D118" t="s">
        <v>389</v>
      </c>
      <c r="F118" s="1">
        <v>45085</v>
      </c>
      <c r="G118" s="1">
        <v>45120</v>
      </c>
      <c r="H118" t="s">
        <v>53</v>
      </c>
      <c r="J118" t="s">
        <v>390</v>
      </c>
      <c r="L118" t="s">
        <v>28</v>
      </c>
      <c r="M118" t="s">
        <v>391</v>
      </c>
      <c r="N118">
        <v>10000</v>
      </c>
      <c r="O118" t="s">
        <v>35</v>
      </c>
      <c r="P118" s="1">
        <v>45083</v>
      </c>
      <c r="Q118" s="1">
        <v>45095</v>
      </c>
      <c r="R118" s="1">
        <v>45105</v>
      </c>
      <c r="S118" t="s">
        <v>47</v>
      </c>
      <c r="T118" t="s">
        <v>26</v>
      </c>
      <c r="U118" t="s">
        <v>26</v>
      </c>
    </row>
    <row r="119" spans="1:21" hidden="1" x14ac:dyDescent="0.45">
      <c r="A119">
        <v>48476</v>
      </c>
      <c r="B119" t="s">
        <v>104</v>
      </c>
      <c r="C119" t="s">
        <v>392</v>
      </c>
      <c r="D119" t="s">
        <v>392</v>
      </c>
      <c r="F119" s="1">
        <v>45090</v>
      </c>
      <c r="G119" s="1">
        <v>45134</v>
      </c>
      <c r="H119" t="s">
        <v>53</v>
      </c>
      <c r="J119" t="s">
        <v>393</v>
      </c>
      <c r="L119" t="s">
        <v>28</v>
      </c>
      <c r="M119" t="s">
        <v>391</v>
      </c>
      <c r="N119">
        <v>10000</v>
      </c>
      <c r="O119" t="s">
        <v>35</v>
      </c>
      <c r="P119" s="1">
        <v>45093</v>
      </c>
      <c r="Q119" s="1">
        <v>45105</v>
      </c>
      <c r="R119" s="1">
        <v>45114</v>
      </c>
      <c r="S119" s="1">
        <v>45130</v>
      </c>
      <c r="T119" t="s">
        <v>26</v>
      </c>
      <c r="U119" t="s">
        <v>26</v>
      </c>
    </row>
    <row r="120" spans="1:21" hidden="1" x14ac:dyDescent="0.45">
      <c r="A120">
        <v>48472</v>
      </c>
      <c r="B120" t="s">
        <v>68</v>
      </c>
      <c r="C120" t="s">
        <v>394</v>
      </c>
      <c r="D120" t="s">
        <v>395</v>
      </c>
      <c r="F120" s="1">
        <v>45076</v>
      </c>
      <c r="G120" s="1">
        <v>45132</v>
      </c>
      <c r="H120" t="s">
        <v>192</v>
      </c>
      <c r="J120" t="s">
        <v>396</v>
      </c>
      <c r="L120" t="s">
        <v>192</v>
      </c>
      <c r="M120" t="s">
        <v>180</v>
      </c>
      <c r="N120" t="s">
        <v>32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</row>
    <row r="121" spans="1:21" hidden="1" x14ac:dyDescent="0.45">
      <c r="A121">
        <v>48454</v>
      </c>
      <c r="B121" t="s">
        <v>68</v>
      </c>
      <c r="C121" t="s">
        <v>397</v>
      </c>
      <c r="D121" t="s">
        <v>397</v>
      </c>
      <c r="F121" s="1">
        <v>45062</v>
      </c>
      <c r="G121" s="1">
        <v>45125</v>
      </c>
      <c r="H121" t="s">
        <v>192</v>
      </c>
      <c r="J121" t="s">
        <v>398</v>
      </c>
      <c r="L121" t="s">
        <v>192</v>
      </c>
      <c r="M121" t="s">
        <v>296</v>
      </c>
      <c r="N121" t="s">
        <v>32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</row>
    <row r="122" spans="1:21" hidden="1" x14ac:dyDescent="0.45">
      <c r="A122">
        <v>48877</v>
      </c>
      <c r="B122" t="s">
        <v>68</v>
      </c>
      <c r="C122" t="s">
        <v>399</v>
      </c>
      <c r="D122" t="s">
        <v>399</v>
      </c>
      <c r="F122" s="1">
        <v>45062</v>
      </c>
      <c r="G122" s="1">
        <v>45185</v>
      </c>
      <c r="H122" t="s">
        <v>192</v>
      </c>
      <c r="J122" t="s">
        <v>400</v>
      </c>
      <c r="L122" t="s">
        <v>192</v>
      </c>
      <c r="M122" t="s">
        <v>296</v>
      </c>
      <c r="N122" t="s">
        <v>32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</row>
    <row r="123" spans="1:21" hidden="1" x14ac:dyDescent="0.45">
      <c r="A123">
        <v>48462</v>
      </c>
      <c r="B123" t="s">
        <v>20</v>
      </c>
      <c r="C123" t="s">
        <v>401</v>
      </c>
      <c r="D123" t="s">
        <v>402</v>
      </c>
      <c r="F123" s="1">
        <v>44997</v>
      </c>
      <c r="G123" s="1">
        <v>45145</v>
      </c>
      <c r="H123" t="s">
        <v>53</v>
      </c>
      <c r="J123" t="s">
        <v>403</v>
      </c>
      <c r="K123" t="s">
        <v>669</v>
      </c>
      <c r="L123" t="s">
        <v>24</v>
      </c>
      <c r="M123" t="s">
        <v>41</v>
      </c>
      <c r="N123">
        <v>1000</v>
      </c>
      <c r="O123" s="1">
        <v>45038</v>
      </c>
      <c r="P123" t="s">
        <v>404</v>
      </c>
      <c r="Q123" t="s">
        <v>405</v>
      </c>
      <c r="R123" t="s">
        <v>26</v>
      </c>
      <c r="S123" t="s">
        <v>26</v>
      </c>
      <c r="T123" s="1">
        <v>45056</v>
      </c>
      <c r="U123" t="s">
        <v>26</v>
      </c>
    </row>
    <row r="124" spans="1:21" hidden="1" x14ac:dyDescent="0.45">
      <c r="A124">
        <v>48463</v>
      </c>
      <c r="B124" t="s">
        <v>104</v>
      </c>
      <c r="C124" t="s">
        <v>406</v>
      </c>
      <c r="D124" t="s">
        <v>406</v>
      </c>
      <c r="F124" s="1">
        <v>45034</v>
      </c>
      <c r="G124" s="1">
        <v>45115</v>
      </c>
      <c r="H124" t="s">
        <v>22</v>
      </c>
      <c r="J124" t="s">
        <v>407</v>
      </c>
      <c r="L124" t="s">
        <v>28</v>
      </c>
      <c r="M124" t="s">
        <v>391</v>
      </c>
      <c r="N124">
        <v>10000</v>
      </c>
      <c r="O124" s="1">
        <v>45066</v>
      </c>
      <c r="P124" s="1">
        <v>45071</v>
      </c>
      <c r="Q124" s="1">
        <v>45083</v>
      </c>
      <c r="R124" s="1">
        <v>45090</v>
      </c>
      <c r="S124" s="1">
        <v>45113</v>
      </c>
      <c r="T124" t="s">
        <v>26</v>
      </c>
      <c r="U124" t="s">
        <v>26</v>
      </c>
    </row>
    <row r="125" spans="1:21" hidden="1" x14ac:dyDescent="0.45">
      <c r="A125">
        <v>48463</v>
      </c>
      <c r="B125" t="s">
        <v>104</v>
      </c>
      <c r="C125" t="s">
        <v>406</v>
      </c>
      <c r="D125" t="s">
        <v>406</v>
      </c>
      <c r="F125" s="1">
        <v>45034</v>
      </c>
      <c r="G125" s="1">
        <v>45115</v>
      </c>
      <c r="H125" t="s">
        <v>22</v>
      </c>
      <c r="J125" t="s">
        <v>408</v>
      </c>
      <c r="L125" t="s">
        <v>45</v>
      </c>
      <c r="M125" t="s">
        <v>391</v>
      </c>
      <c r="N125">
        <v>10000</v>
      </c>
      <c r="O125" s="1">
        <v>45101</v>
      </c>
      <c r="P125" t="s">
        <v>409</v>
      </c>
      <c r="Q125" t="s">
        <v>47</v>
      </c>
      <c r="R125" t="s">
        <v>47</v>
      </c>
      <c r="S125" t="s">
        <v>47</v>
      </c>
      <c r="T125" t="s">
        <v>26</v>
      </c>
      <c r="U125" t="s">
        <v>26</v>
      </c>
    </row>
    <row r="126" spans="1:21" hidden="1" x14ac:dyDescent="0.45">
      <c r="A126">
        <v>48468</v>
      </c>
      <c r="B126" t="s">
        <v>104</v>
      </c>
      <c r="C126" t="s">
        <v>410</v>
      </c>
      <c r="D126" t="s">
        <v>410</v>
      </c>
      <c r="E126" t="s">
        <v>411</v>
      </c>
      <c r="F126" s="1">
        <v>45027</v>
      </c>
      <c r="G126" s="1">
        <v>45115</v>
      </c>
      <c r="H126" t="s">
        <v>53</v>
      </c>
      <c r="J126" t="s">
        <v>412</v>
      </c>
      <c r="L126" t="s">
        <v>28</v>
      </c>
      <c r="M126" t="s">
        <v>391</v>
      </c>
      <c r="N126">
        <v>10000</v>
      </c>
      <c r="O126" s="1">
        <v>45066</v>
      </c>
      <c r="P126" s="1">
        <v>45071</v>
      </c>
      <c r="Q126" s="1">
        <v>45083</v>
      </c>
      <c r="R126" s="1">
        <v>45088</v>
      </c>
      <c r="S126" s="1">
        <v>45112</v>
      </c>
      <c r="T126" t="s">
        <v>26</v>
      </c>
      <c r="U126" t="s">
        <v>26</v>
      </c>
    </row>
    <row r="127" spans="1:21" hidden="1" x14ac:dyDescent="0.45">
      <c r="A127">
        <v>48457</v>
      </c>
      <c r="B127" t="s">
        <v>30</v>
      </c>
      <c r="C127" t="s">
        <v>413</v>
      </c>
      <c r="D127" t="s">
        <v>413</v>
      </c>
      <c r="F127" s="1">
        <v>45055</v>
      </c>
      <c r="G127" s="1">
        <v>45160</v>
      </c>
      <c r="H127" t="s">
        <v>53</v>
      </c>
      <c r="J127" t="s">
        <v>414</v>
      </c>
      <c r="K127" t="s">
        <v>669</v>
      </c>
      <c r="L127" t="s">
        <v>75</v>
      </c>
      <c r="M127" t="s">
        <v>34</v>
      </c>
      <c r="N127">
        <v>600</v>
      </c>
      <c r="O127" t="s">
        <v>35</v>
      </c>
      <c r="P127" t="s">
        <v>35</v>
      </c>
      <c r="Q127" t="s">
        <v>35</v>
      </c>
      <c r="R127" t="s">
        <v>415</v>
      </c>
      <c r="S127" t="s">
        <v>416</v>
      </c>
      <c r="T127" t="s">
        <v>26</v>
      </c>
      <c r="U127" s="1">
        <v>45059</v>
      </c>
    </row>
    <row r="128" spans="1:21" hidden="1" x14ac:dyDescent="0.45">
      <c r="A128">
        <v>48434</v>
      </c>
      <c r="B128" t="s">
        <v>104</v>
      </c>
      <c r="C128" t="s">
        <v>417</v>
      </c>
      <c r="D128" t="s">
        <v>417</v>
      </c>
      <c r="F128" s="1">
        <v>45031</v>
      </c>
      <c r="G128" s="1">
        <v>45068</v>
      </c>
      <c r="H128" t="s">
        <v>39</v>
      </c>
      <c r="J128" t="s">
        <v>418</v>
      </c>
      <c r="L128" t="s">
        <v>28</v>
      </c>
      <c r="M128" t="s">
        <v>419</v>
      </c>
      <c r="N128">
        <v>500</v>
      </c>
      <c r="O128" t="s">
        <v>35</v>
      </c>
      <c r="P128" s="1">
        <v>45030</v>
      </c>
      <c r="Q128" s="1">
        <v>45042</v>
      </c>
      <c r="R128" s="1">
        <v>45058</v>
      </c>
      <c r="S128" t="s">
        <v>47</v>
      </c>
      <c r="T128" t="s">
        <v>26</v>
      </c>
      <c r="U128" t="s">
        <v>26</v>
      </c>
    </row>
    <row r="129" spans="1:21" hidden="1" x14ac:dyDescent="0.45">
      <c r="A129">
        <v>48467</v>
      </c>
      <c r="B129" t="s">
        <v>170</v>
      </c>
      <c r="C129" t="s">
        <v>420</v>
      </c>
      <c r="D129" t="s">
        <v>420</v>
      </c>
      <c r="F129" s="1">
        <v>45071</v>
      </c>
      <c r="G129" s="1">
        <v>45149</v>
      </c>
      <c r="H129" t="s">
        <v>192</v>
      </c>
      <c r="J129" t="s">
        <v>421</v>
      </c>
      <c r="L129" t="s">
        <v>192</v>
      </c>
      <c r="M129" t="s">
        <v>183</v>
      </c>
      <c r="N129" t="s">
        <v>32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</row>
    <row r="130" spans="1:21" hidden="1" x14ac:dyDescent="0.45">
      <c r="A130">
        <v>48470</v>
      </c>
      <c r="B130" t="s">
        <v>170</v>
      </c>
      <c r="C130" t="s">
        <v>422</v>
      </c>
      <c r="D130" t="s">
        <v>423</v>
      </c>
      <c r="F130" s="1">
        <v>45049</v>
      </c>
      <c r="G130" s="1">
        <v>45149</v>
      </c>
      <c r="H130" t="s">
        <v>22</v>
      </c>
      <c r="J130" t="s">
        <v>424</v>
      </c>
      <c r="L130" t="s">
        <v>28</v>
      </c>
      <c r="M130" t="s">
        <v>425</v>
      </c>
      <c r="N130">
        <v>100</v>
      </c>
      <c r="O130" s="1">
        <v>45066</v>
      </c>
      <c r="P130" s="1">
        <v>45073</v>
      </c>
      <c r="Q130" s="1">
        <v>45085</v>
      </c>
      <c r="R130" s="1">
        <v>45097</v>
      </c>
      <c r="S130" s="1">
        <v>45113</v>
      </c>
      <c r="T130" t="s">
        <v>26</v>
      </c>
      <c r="U130" t="s">
        <v>26</v>
      </c>
    </row>
    <row r="131" spans="1:21" hidden="1" x14ac:dyDescent="0.45">
      <c r="A131">
        <v>48470</v>
      </c>
      <c r="B131" t="s">
        <v>170</v>
      </c>
      <c r="C131" t="s">
        <v>422</v>
      </c>
      <c r="D131" t="s">
        <v>423</v>
      </c>
      <c r="F131" s="1">
        <v>45049</v>
      </c>
      <c r="G131" s="1">
        <v>45149</v>
      </c>
      <c r="H131" t="s">
        <v>22</v>
      </c>
      <c r="J131" t="s">
        <v>426</v>
      </c>
      <c r="L131" t="s">
        <v>28</v>
      </c>
      <c r="M131" t="s">
        <v>425</v>
      </c>
      <c r="N131">
        <v>100</v>
      </c>
      <c r="O131" s="1">
        <v>45100</v>
      </c>
      <c r="P131" s="1">
        <v>45100</v>
      </c>
      <c r="Q131" s="1">
        <v>45112</v>
      </c>
      <c r="R131" s="1">
        <v>45126</v>
      </c>
      <c r="S131" s="1">
        <v>45145</v>
      </c>
      <c r="T131" t="s">
        <v>26</v>
      </c>
      <c r="U131" t="s">
        <v>26</v>
      </c>
    </row>
    <row r="132" spans="1:21" hidden="1" x14ac:dyDescent="0.45">
      <c r="A132">
        <v>48747</v>
      </c>
      <c r="B132" t="s">
        <v>104</v>
      </c>
      <c r="C132" t="s">
        <v>431</v>
      </c>
      <c r="D132" t="s">
        <v>432</v>
      </c>
      <c r="F132" s="1">
        <v>45035</v>
      </c>
      <c r="G132" s="1">
        <v>45095</v>
      </c>
      <c r="H132" t="s">
        <v>187</v>
      </c>
      <c r="I132" t="s">
        <v>433</v>
      </c>
      <c r="J132" t="s">
        <v>434</v>
      </c>
      <c r="L132" t="s">
        <v>28</v>
      </c>
      <c r="M132" t="s">
        <v>391</v>
      </c>
      <c r="N132">
        <v>17500</v>
      </c>
      <c r="O132" s="1">
        <v>45036</v>
      </c>
      <c r="P132" s="1">
        <v>45037</v>
      </c>
      <c r="Q132" s="1">
        <v>45049</v>
      </c>
      <c r="R132" s="1">
        <v>45068</v>
      </c>
      <c r="S132" s="1">
        <v>45091</v>
      </c>
      <c r="T132" t="s">
        <v>26</v>
      </c>
      <c r="U132" t="s">
        <v>26</v>
      </c>
    </row>
    <row r="133" spans="1:21" hidden="1" x14ac:dyDescent="0.45">
      <c r="A133">
        <v>48747</v>
      </c>
      <c r="B133" t="s">
        <v>104</v>
      </c>
      <c r="C133" t="s">
        <v>431</v>
      </c>
      <c r="D133" t="s">
        <v>432</v>
      </c>
      <c r="F133" s="1">
        <v>45035</v>
      </c>
      <c r="G133" s="1">
        <v>45095</v>
      </c>
      <c r="H133" t="s">
        <v>187</v>
      </c>
      <c r="I133" t="s">
        <v>433</v>
      </c>
      <c r="J133" t="s">
        <v>435</v>
      </c>
      <c r="L133" t="s">
        <v>28</v>
      </c>
      <c r="M133" t="s">
        <v>391</v>
      </c>
      <c r="N133">
        <v>17500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</row>
    <row r="134" spans="1:21" hidden="1" x14ac:dyDescent="0.45">
      <c r="A134">
        <v>48747</v>
      </c>
      <c r="B134" t="s">
        <v>104</v>
      </c>
      <c r="C134" t="s">
        <v>431</v>
      </c>
      <c r="D134" t="s">
        <v>432</v>
      </c>
      <c r="F134" s="1">
        <v>45035</v>
      </c>
      <c r="G134" s="1">
        <v>45095</v>
      </c>
      <c r="H134" t="s">
        <v>187</v>
      </c>
      <c r="I134" t="s">
        <v>433</v>
      </c>
      <c r="J134" t="s">
        <v>436</v>
      </c>
      <c r="L134" t="s">
        <v>28</v>
      </c>
      <c r="M134" t="s">
        <v>391</v>
      </c>
      <c r="N134">
        <v>17500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</row>
    <row r="135" spans="1:21" hidden="1" x14ac:dyDescent="0.45">
      <c r="A135">
        <v>48747</v>
      </c>
      <c r="B135" t="s">
        <v>104</v>
      </c>
      <c r="C135" t="s">
        <v>431</v>
      </c>
      <c r="D135" t="s">
        <v>432</v>
      </c>
      <c r="F135" s="1">
        <v>45035</v>
      </c>
      <c r="G135" s="1">
        <v>45095</v>
      </c>
      <c r="H135" t="s">
        <v>187</v>
      </c>
      <c r="I135" t="s">
        <v>433</v>
      </c>
      <c r="J135" t="s">
        <v>437</v>
      </c>
      <c r="L135" t="s">
        <v>45</v>
      </c>
      <c r="M135" t="s">
        <v>391</v>
      </c>
      <c r="N135">
        <v>17500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</row>
    <row r="136" spans="1:21" hidden="1" x14ac:dyDescent="0.45">
      <c r="A136">
        <v>48458</v>
      </c>
      <c r="B136" t="s">
        <v>104</v>
      </c>
      <c r="C136" t="s">
        <v>438</v>
      </c>
      <c r="D136" t="s">
        <v>439</v>
      </c>
      <c r="E136" t="s">
        <v>440</v>
      </c>
      <c r="F136" s="1">
        <v>45041</v>
      </c>
      <c r="G136" s="1">
        <v>45095</v>
      </c>
      <c r="H136" t="s">
        <v>22</v>
      </c>
      <c r="J136" t="s">
        <v>441</v>
      </c>
      <c r="L136" t="s">
        <v>28</v>
      </c>
      <c r="M136" t="s">
        <v>391</v>
      </c>
      <c r="N136">
        <v>17500</v>
      </c>
      <c r="O136" s="1">
        <v>45042</v>
      </c>
      <c r="P136" s="1">
        <v>45053</v>
      </c>
      <c r="Q136" s="1">
        <v>45065</v>
      </c>
      <c r="R136" s="1">
        <v>45071</v>
      </c>
      <c r="S136" s="1">
        <v>45085</v>
      </c>
      <c r="T136" t="s">
        <v>26</v>
      </c>
      <c r="U136" t="s">
        <v>26</v>
      </c>
    </row>
    <row r="137" spans="1:21" hidden="1" x14ac:dyDescent="0.45">
      <c r="A137">
        <v>48458</v>
      </c>
      <c r="B137" t="s">
        <v>104</v>
      </c>
      <c r="C137" t="s">
        <v>438</v>
      </c>
      <c r="D137" t="s">
        <v>439</v>
      </c>
      <c r="E137" t="s">
        <v>440</v>
      </c>
      <c r="F137" s="1">
        <v>45041</v>
      </c>
      <c r="G137" s="1">
        <v>45095</v>
      </c>
      <c r="H137" t="s">
        <v>22</v>
      </c>
      <c r="J137" t="s">
        <v>442</v>
      </c>
      <c r="L137" t="s">
        <v>45</v>
      </c>
      <c r="M137" t="s">
        <v>391</v>
      </c>
      <c r="N137">
        <v>17500</v>
      </c>
      <c r="O137" s="1">
        <v>45077</v>
      </c>
      <c r="P137" s="1">
        <v>45081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</row>
    <row r="138" spans="1:21" hidden="1" x14ac:dyDescent="0.45">
      <c r="A138">
        <v>48465</v>
      </c>
      <c r="B138" t="s">
        <v>104</v>
      </c>
      <c r="C138" t="s">
        <v>427</v>
      </c>
      <c r="D138" t="s">
        <v>428</v>
      </c>
      <c r="F138" s="1">
        <v>45055</v>
      </c>
      <c r="G138" s="1">
        <v>45095</v>
      </c>
      <c r="H138" t="s">
        <v>53</v>
      </c>
      <c r="J138" t="s">
        <v>429</v>
      </c>
      <c r="L138" t="s">
        <v>28</v>
      </c>
      <c r="M138" t="s">
        <v>108</v>
      </c>
      <c r="N138" t="s">
        <v>108</v>
      </c>
      <c r="O138" t="s">
        <v>35</v>
      </c>
      <c r="P138" s="1">
        <v>45051</v>
      </c>
      <c r="Q138" s="1">
        <v>45063</v>
      </c>
      <c r="R138" s="1">
        <v>45072</v>
      </c>
      <c r="S138" t="s">
        <v>430</v>
      </c>
      <c r="T138" t="s">
        <v>26</v>
      </c>
      <c r="U138" t="s">
        <v>26</v>
      </c>
    </row>
    <row r="139" spans="1:21" x14ac:dyDescent="0.45">
      <c r="A139">
        <v>48428</v>
      </c>
      <c r="B139" t="s">
        <v>282</v>
      </c>
      <c r="C139" t="s">
        <v>443</v>
      </c>
      <c r="D139" t="s">
        <v>443</v>
      </c>
      <c r="F139" s="1">
        <v>45023</v>
      </c>
      <c r="G139" s="1">
        <v>45114</v>
      </c>
      <c r="H139" t="s">
        <v>53</v>
      </c>
      <c r="J139" t="s">
        <v>444</v>
      </c>
      <c r="K139" t="s">
        <v>671</v>
      </c>
      <c r="L139" t="s">
        <v>24</v>
      </c>
      <c r="M139" t="s">
        <v>25</v>
      </c>
      <c r="N139">
        <v>500</v>
      </c>
      <c r="O139" t="s">
        <v>35</v>
      </c>
      <c r="P139" s="1">
        <v>45030</v>
      </c>
      <c r="Q139" s="1">
        <v>45042</v>
      </c>
      <c r="R139" t="s">
        <v>26</v>
      </c>
      <c r="S139" t="s">
        <v>26</v>
      </c>
      <c r="T139" s="1">
        <v>45046</v>
      </c>
      <c r="U139" t="s">
        <v>26</v>
      </c>
    </row>
    <row r="140" spans="1:21" hidden="1" x14ac:dyDescent="0.45">
      <c r="A140">
        <v>48444</v>
      </c>
      <c r="B140" t="s">
        <v>282</v>
      </c>
      <c r="C140" t="s">
        <v>445</v>
      </c>
      <c r="D140" t="s">
        <v>445</v>
      </c>
      <c r="F140" s="1">
        <v>45009</v>
      </c>
      <c r="G140" s="1">
        <v>45138</v>
      </c>
      <c r="H140" t="s">
        <v>22</v>
      </c>
      <c r="J140" t="s">
        <v>446</v>
      </c>
      <c r="L140" t="s">
        <v>28</v>
      </c>
      <c r="M140" t="s">
        <v>41</v>
      </c>
      <c r="N140">
        <v>2000</v>
      </c>
      <c r="O140" s="1">
        <v>45023</v>
      </c>
      <c r="P140" s="1">
        <v>45032</v>
      </c>
      <c r="Q140" s="1">
        <v>45044</v>
      </c>
      <c r="R140" s="1">
        <v>45052</v>
      </c>
      <c r="S140" s="1">
        <v>45091</v>
      </c>
      <c r="T140" t="s">
        <v>26</v>
      </c>
      <c r="U140" t="s">
        <v>26</v>
      </c>
    </row>
    <row r="141" spans="1:21" hidden="1" x14ac:dyDescent="0.45">
      <c r="A141">
        <v>48444</v>
      </c>
      <c r="B141" t="s">
        <v>282</v>
      </c>
      <c r="C141" t="s">
        <v>445</v>
      </c>
      <c r="D141" t="s">
        <v>445</v>
      </c>
      <c r="F141" s="1">
        <v>45009</v>
      </c>
      <c r="G141" s="1">
        <v>45138</v>
      </c>
      <c r="H141" t="s">
        <v>22</v>
      </c>
      <c r="J141" t="s">
        <v>447</v>
      </c>
      <c r="L141" t="s">
        <v>28</v>
      </c>
      <c r="M141" t="s">
        <v>41</v>
      </c>
      <c r="N141">
        <v>2000</v>
      </c>
      <c r="O141" s="1">
        <v>45073</v>
      </c>
      <c r="P141" s="1">
        <v>45080</v>
      </c>
      <c r="Q141" s="1">
        <v>45092</v>
      </c>
      <c r="R141" s="1">
        <v>45103</v>
      </c>
      <c r="S141" s="1">
        <v>45124</v>
      </c>
      <c r="T141" t="s">
        <v>26</v>
      </c>
      <c r="U141" t="s">
        <v>26</v>
      </c>
    </row>
    <row r="142" spans="1:21" hidden="1" x14ac:dyDescent="0.45">
      <c r="A142">
        <v>48436</v>
      </c>
      <c r="B142" t="s">
        <v>36</v>
      </c>
      <c r="C142" t="s">
        <v>448</v>
      </c>
      <c r="D142" t="s">
        <v>448</v>
      </c>
      <c r="F142" s="1">
        <v>45051</v>
      </c>
      <c r="G142" s="1">
        <v>45124</v>
      </c>
      <c r="H142" t="s">
        <v>53</v>
      </c>
      <c r="J142" t="s">
        <v>449</v>
      </c>
      <c r="K142" t="s">
        <v>669</v>
      </c>
      <c r="L142" t="s">
        <v>75</v>
      </c>
      <c r="M142" t="s">
        <v>34</v>
      </c>
      <c r="N142" t="s">
        <v>450</v>
      </c>
      <c r="O142" s="1">
        <v>45057</v>
      </c>
      <c r="P142" s="1">
        <v>45065</v>
      </c>
      <c r="Q142" s="1">
        <v>45077</v>
      </c>
      <c r="R142" s="1">
        <v>45090</v>
      </c>
      <c r="S142" t="s">
        <v>47</v>
      </c>
      <c r="T142" t="s">
        <v>26</v>
      </c>
      <c r="U142" s="1">
        <v>45069</v>
      </c>
    </row>
    <row r="143" spans="1:21" hidden="1" x14ac:dyDescent="0.45">
      <c r="A143">
        <v>48446</v>
      </c>
      <c r="B143" t="s">
        <v>451</v>
      </c>
      <c r="C143" t="s">
        <v>452</v>
      </c>
      <c r="D143" t="s">
        <v>453</v>
      </c>
      <c r="F143" s="1">
        <v>45058</v>
      </c>
      <c r="G143" s="1">
        <v>45093</v>
      </c>
      <c r="H143" t="s">
        <v>22</v>
      </c>
      <c r="J143" t="s">
        <v>454</v>
      </c>
      <c r="L143" t="s">
        <v>28</v>
      </c>
      <c r="M143" t="s">
        <v>455</v>
      </c>
      <c r="N143" t="s">
        <v>26</v>
      </c>
      <c r="O143" t="s">
        <v>35</v>
      </c>
      <c r="P143" t="s">
        <v>35</v>
      </c>
      <c r="Q143" t="s">
        <v>35</v>
      </c>
      <c r="R143" t="s">
        <v>35</v>
      </c>
      <c r="S143" s="1">
        <v>45076</v>
      </c>
      <c r="T143" t="s">
        <v>26</v>
      </c>
      <c r="U143" t="s">
        <v>26</v>
      </c>
    </row>
    <row r="144" spans="1:21" hidden="1" x14ac:dyDescent="0.45">
      <c r="A144">
        <v>48446</v>
      </c>
      <c r="B144" t="s">
        <v>451</v>
      </c>
      <c r="C144" t="s">
        <v>452</v>
      </c>
      <c r="D144" t="s">
        <v>453</v>
      </c>
      <c r="F144" s="1">
        <v>45058</v>
      </c>
      <c r="G144" s="1">
        <v>45093</v>
      </c>
      <c r="H144" t="s">
        <v>22</v>
      </c>
      <c r="J144" t="s">
        <v>456</v>
      </c>
      <c r="K144" t="s">
        <v>670</v>
      </c>
      <c r="L144" t="s">
        <v>75</v>
      </c>
      <c r="M144" t="s">
        <v>455</v>
      </c>
      <c r="N144" t="s">
        <v>26</v>
      </c>
      <c r="O144" t="s">
        <v>35</v>
      </c>
      <c r="P144" t="s">
        <v>26</v>
      </c>
      <c r="Q144" t="s">
        <v>457</v>
      </c>
      <c r="R144" t="s">
        <v>458</v>
      </c>
      <c r="S144" t="s">
        <v>47</v>
      </c>
      <c r="T144" t="s">
        <v>26</v>
      </c>
      <c r="U144" s="1">
        <v>45079</v>
      </c>
    </row>
    <row r="145" spans="1:21" hidden="1" x14ac:dyDescent="0.45">
      <c r="A145">
        <v>48490</v>
      </c>
      <c r="B145" t="s">
        <v>451</v>
      </c>
      <c r="C145" t="s">
        <v>459</v>
      </c>
      <c r="D145" t="s">
        <v>460</v>
      </c>
      <c r="F145" s="1">
        <v>45069</v>
      </c>
      <c r="G145" s="1">
        <v>45104</v>
      </c>
      <c r="H145" t="s">
        <v>53</v>
      </c>
      <c r="J145" t="s">
        <v>461</v>
      </c>
      <c r="K145" t="s">
        <v>670</v>
      </c>
      <c r="L145" t="s">
        <v>24</v>
      </c>
      <c r="M145" t="s">
        <v>462</v>
      </c>
      <c r="N145">
        <v>200</v>
      </c>
      <c r="O145" t="s">
        <v>35</v>
      </c>
      <c r="P145" s="1">
        <v>45065</v>
      </c>
      <c r="Q145" s="1">
        <v>45077</v>
      </c>
      <c r="R145" t="s">
        <v>26</v>
      </c>
      <c r="S145" t="s">
        <v>26</v>
      </c>
      <c r="T145" s="1">
        <v>45081</v>
      </c>
      <c r="U145" t="s">
        <v>26</v>
      </c>
    </row>
    <row r="146" spans="1:21" hidden="1" x14ac:dyDescent="0.45">
      <c r="A146">
        <v>48448</v>
      </c>
      <c r="B146" t="s">
        <v>104</v>
      </c>
      <c r="C146" t="s">
        <v>463</v>
      </c>
      <c r="D146" t="s">
        <v>463</v>
      </c>
      <c r="F146" s="1">
        <v>45016</v>
      </c>
      <c r="G146" s="1">
        <v>45079</v>
      </c>
      <c r="H146" t="s">
        <v>53</v>
      </c>
      <c r="J146" t="s">
        <v>464</v>
      </c>
      <c r="L146" t="s">
        <v>28</v>
      </c>
      <c r="M146" t="s">
        <v>465</v>
      </c>
      <c r="N146">
        <v>150</v>
      </c>
      <c r="O146" s="1">
        <v>45023</v>
      </c>
      <c r="P146" s="1">
        <v>45039</v>
      </c>
      <c r="Q146" s="1">
        <v>45051</v>
      </c>
      <c r="R146" s="1">
        <v>45061</v>
      </c>
      <c r="S146" t="s">
        <v>47</v>
      </c>
      <c r="T146" t="s">
        <v>26</v>
      </c>
      <c r="U146" t="s">
        <v>26</v>
      </c>
    </row>
    <row r="147" spans="1:21" x14ac:dyDescent="0.45">
      <c r="A147">
        <v>48397</v>
      </c>
      <c r="B147" t="s">
        <v>292</v>
      </c>
      <c r="C147" t="s">
        <v>466</v>
      </c>
      <c r="D147" t="s">
        <v>467</v>
      </c>
      <c r="F147" s="1">
        <v>45045</v>
      </c>
      <c r="G147" s="1">
        <v>45122</v>
      </c>
      <c r="H147" t="s">
        <v>53</v>
      </c>
      <c r="J147" t="s">
        <v>468</v>
      </c>
      <c r="K147" t="s">
        <v>671</v>
      </c>
      <c r="L147" t="s">
        <v>75</v>
      </c>
      <c r="M147" t="s">
        <v>469</v>
      </c>
      <c r="N147" t="s">
        <v>470</v>
      </c>
      <c r="O147" t="s">
        <v>35</v>
      </c>
      <c r="P147" s="1">
        <v>45053</v>
      </c>
      <c r="Q147" s="1">
        <v>45065</v>
      </c>
      <c r="R147" t="s">
        <v>471</v>
      </c>
      <c r="S147" s="1">
        <v>45086</v>
      </c>
      <c r="T147" t="s">
        <v>26</v>
      </c>
      <c r="U147" s="1">
        <v>45071</v>
      </c>
    </row>
    <row r="148" spans="1:21" hidden="1" x14ac:dyDescent="0.45">
      <c r="A148">
        <v>48392</v>
      </c>
      <c r="B148" t="s">
        <v>292</v>
      </c>
      <c r="C148" t="s">
        <v>472</v>
      </c>
      <c r="D148" t="s">
        <v>473</v>
      </c>
      <c r="F148" s="1">
        <v>45045</v>
      </c>
      <c r="G148" s="1">
        <v>45131</v>
      </c>
      <c r="H148" t="s">
        <v>39</v>
      </c>
      <c r="J148" t="s">
        <v>474</v>
      </c>
      <c r="L148" t="s">
        <v>28</v>
      </c>
      <c r="M148" t="s">
        <v>469</v>
      </c>
      <c r="N148">
        <v>100</v>
      </c>
      <c r="O148" t="s">
        <v>26</v>
      </c>
      <c r="P148" s="1">
        <v>45053</v>
      </c>
      <c r="Q148" s="1">
        <v>45065</v>
      </c>
      <c r="R148" s="1">
        <v>45076</v>
      </c>
      <c r="S148" s="1">
        <v>45111</v>
      </c>
      <c r="T148" t="s">
        <v>26</v>
      </c>
      <c r="U148" t="s">
        <v>26</v>
      </c>
    </row>
    <row r="149" spans="1:21" hidden="1" x14ac:dyDescent="0.45">
      <c r="A149">
        <v>48445</v>
      </c>
      <c r="B149" t="s">
        <v>292</v>
      </c>
      <c r="C149" t="s">
        <v>475</v>
      </c>
      <c r="D149" t="s">
        <v>476</v>
      </c>
      <c r="F149" s="1">
        <v>45045</v>
      </c>
      <c r="G149" s="1">
        <v>45122</v>
      </c>
      <c r="H149" t="s">
        <v>22</v>
      </c>
      <c r="J149" t="s">
        <v>477</v>
      </c>
      <c r="L149" t="s">
        <v>28</v>
      </c>
      <c r="M149" t="s">
        <v>177</v>
      </c>
      <c r="N149" t="s">
        <v>478</v>
      </c>
      <c r="O149" t="s">
        <v>26</v>
      </c>
      <c r="P149" s="1">
        <v>45049</v>
      </c>
      <c r="Q149" s="1">
        <v>45061</v>
      </c>
      <c r="R149" s="1">
        <v>45072</v>
      </c>
      <c r="S149" s="1">
        <v>45076</v>
      </c>
      <c r="T149" t="s">
        <v>26</v>
      </c>
      <c r="U149" t="s">
        <v>26</v>
      </c>
    </row>
    <row r="150" spans="1:21" hidden="1" x14ac:dyDescent="0.45">
      <c r="A150">
        <v>48445</v>
      </c>
      <c r="B150" t="s">
        <v>292</v>
      </c>
      <c r="C150" t="s">
        <v>475</v>
      </c>
      <c r="D150" t="s">
        <v>476</v>
      </c>
      <c r="F150" s="1">
        <v>45045</v>
      </c>
      <c r="G150" s="1">
        <v>45122</v>
      </c>
      <c r="H150" t="s">
        <v>22</v>
      </c>
      <c r="J150" t="s">
        <v>479</v>
      </c>
      <c r="L150" t="s">
        <v>28</v>
      </c>
      <c r="M150" t="s">
        <v>177</v>
      </c>
      <c r="N150" t="s">
        <v>478</v>
      </c>
      <c r="O150" s="1">
        <v>45080</v>
      </c>
      <c r="P150" s="1">
        <v>45086</v>
      </c>
      <c r="Q150" s="1">
        <v>45098</v>
      </c>
      <c r="R150" s="1">
        <v>45113</v>
      </c>
      <c r="S150" t="s">
        <v>47</v>
      </c>
      <c r="T150" t="s">
        <v>26</v>
      </c>
      <c r="U150" t="s">
        <v>26</v>
      </c>
    </row>
    <row r="151" spans="1:21" hidden="1" x14ac:dyDescent="0.45">
      <c r="A151">
        <v>48796</v>
      </c>
      <c r="B151" t="s">
        <v>144</v>
      </c>
      <c r="C151" t="s">
        <v>480</v>
      </c>
      <c r="D151" t="s">
        <v>481</v>
      </c>
      <c r="E151" t="s">
        <v>482</v>
      </c>
      <c r="F151" s="1">
        <v>45045</v>
      </c>
      <c r="G151" s="1">
        <v>45089</v>
      </c>
      <c r="H151" t="s">
        <v>53</v>
      </c>
      <c r="J151" t="s">
        <v>483</v>
      </c>
      <c r="L151" t="s">
        <v>28</v>
      </c>
      <c r="M151" t="s">
        <v>484</v>
      </c>
      <c r="N151" t="s">
        <v>285</v>
      </c>
      <c r="O151" t="s">
        <v>35</v>
      </c>
      <c r="P151" t="s">
        <v>35</v>
      </c>
      <c r="Q151" t="s">
        <v>35</v>
      </c>
      <c r="R151" s="1">
        <v>45054</v>
      </c>
      <c r="S151" s="1">
        <v>45062</v>
      </c>
      <c r="T151" t="s">
        <v>26</v>
      </c>
      <c r="U151" t="s">
        <v>26</v>
      </c>
    </row>
    <row r="152" spans="1:21" hidden="1" x14ac:dyDescent="0.45">
      <c r="A152">
        <v>48797</v>
      </c>
      <c r="B152" t="s">
        <v>144</v>
      </c>
      <c r="C152" t="s">
        <v>485</v>
      </c>
      <c r="D152" t="s">
        <v>486</v>
      </c>
      <c r="F152" s="1">
        <v>45045</v>
      </c>
      <c r="G152" s="1">
        <v>45089</v>
      </c>
      <c r="H152" t="s">
        <v>53</v>
      </c>
      <c r="J152" t="s">
        <v>487</v>
      </c>
      <c r="L152" t="s">
        <v>28</v>
      </c>
      <c r="M152" t="s">
        <v>484</v>
      </c>
      <c r="N152" t="s">
        <v>285</v>
      </c>
      <c r="O152" t="s">
        <v>35</v>
      </c>
      <c r="P152" t="s">
        <v>35</v>
      </c>
      <c r="Q152" t="s">
        <v>35</v>
      </c>
      <c r="R152" s="1">
        <v>45053</v>
      </c>
      <c r="S152" s="1">
        <v>45065</v>
      </c>
      <c r="T152" t="s">
        <v>26</v>
      </c>
      <c r="U152" t="s">
        <v>26</v>
      </c>
    </row>
    <row r="153" spans="1:21" hidden="1" x14ac:dyDescent="0.45">
      <c r="A153">
        <v>48440</v>
      </c>
      <c r="B153" t="s">
        <v>288</v>
      </c>
      <c r="C153" t="s">
        <v>488</v>
      </c>
      <c r="D153" t="s">
        <v>489</v>
      </c>
      <c r="F153" s="1">
        <v>45021</v>
      </c>
      <c r="G153" s="1">
        <v>45135</v>
      </c>
      <c r="H153" t="s">
        <v>32</v>
      </c>
      <c r="J153" t="s">
        <v>490</v>
      </c>
      <c r="L153" t="s">
        <v>32</v>
      </c>
      <c r="M153" t="s">
        <v>180</v>
      </c>
      <c r="N153" t="s">
        <v>32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</row>
    <row r="154" spans="1:21" hidden="1" x14ac:dyDescent="0.45">
      <c r="A154">
        <v>48461</v>
      </c>
      <c r="B154" t="s">
        <v>288</v>
      </c>
      <c r="C154" t="s">
        <v>491</v>
      </c>
      <c r="D154" t="s">
        <v>492</v>
      </c>
      <c r="E154" t="s">
        <v>493</v>
      </c>
      <c r="F154" s="1">
        <v>45021</v>
      </c>
      <c r="G154" s="1">
        <v>45135</v>
      </c>
      <c r="H154" t="s">
        <v>32</v>
      </c>
      <c r="J154" t="s">
        <v>494</v>
      </c>
      <c r="L154" t="s">
        <v>32</v>
      </c>
      <c r="M154" t="s">
        <v>180</v>
      </c>
      <c r="N154" t="s">
        <v>32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</row>
    <row r="155" spans="1:21" hidden="1" x14ac:dyDescent="0.45">
      <c r="A155">
        <v>48475</v>
      </c>
      <c r="B155" t="s">
        <v>104</v>
      </c>
      <c r="C155" t="s">
        <v>495</v>
      </c>
      <c r="D155" t="s">
        <v>495</v>
      </c>
      <c r="F155" s="1">
        <v>45072</v>
      </c>
      <c r="G155" s="1">
        <v>45115</v>
      </c>
      <c r="H155" t="s">
        <v>53</v>
      </c>
      <c r="J155" t="s">
        <v>496</v>
      </c>
      <c r="L155" t="s">
        <v>28</v>
      </c>
      <c r="M155" t="s">
        <v>41</v>
      </c>
      <c r="N155">
        <v>7000</v>
      </c>
      <c r="O155" t="s">
        <v>35</v>
      </c>
      <c r="P155" s="1">
        <v>45072</v>
      </c>
      <c r="Q155" s="1">
        <v>45084</v>
      </c>
      <c r="R155" s="1">
        <v>45094</v>
      </c>
      <c r="S155" s="1">
        <v>45112</v>
      </c>
      <c r="T155" t="s">
        <v>26</v>
      </c>
      <c r="U155" t="s">
        <v>26</v>
      </c>
    </row>
    <row r="156" spans="1:21" hidden="1" x14ac:dyDescent="0.45">
      <c r="A156">
        <v>48437</v>
      </c>
      <c r="B156" t="s">
        <v>104</v>
      </c>
      <c r="C156" t="s">
        <v>497</v>
      </c>
      <c r="D156" t="s">
        <v>498</v>
      </c>
      <c r="F156" s="1">
        <v>45037</v>
      </c>
      <c r="G156" s="1">
        <v>45115</v>
      </c>
      <c r="H156" t="s">
        <v>22</v>
      </c>
      <c r="J156" t="s">
        <v>499</v>
      </c>
      <c r="K156" t="s">
        <v>669</v>
      </c>
      <c r="L156" t="s">
        <v>75</v>
      </c>
      <c r="M156" t="s">
        <v>41</v>
      </c>
      <c r="N156">
        <v>4000</v>
      </c>
      <c r="O156" t="s">
        <v>35</v>
      </c>
      <c r="P156" s="1">
        <v>45040</v>
      </c>
      <c r="Q156" s="1">
        <v>45052</v>
      </c>
      <c r="R156" s="1">
        <v>45061</v>
      </c>
      <c r="S156" t="s">
        <v>457</v>
      </c>
      <c r="T156" t="s">
        <v>26</v>
      </c>
      <c r="U156" s="1">
        <v>45052</v>
      </c>
    </row>
    <row r="157" spans="1:21" hidden="1" x14ac:dyDescent="0.45">
      <c r="A157">
        <v>48437</v>
      </c>
      <c r="B157" t="s">
        <v>104</v>
      </c>
      <c r="C157" t="s">
        <v>497</v>
      </c>
      <c r="D157" t="s">
        <v>498</v>
      </c>
      <c r="F157" s="1">
        <v>45037</v>
      </c>
      <c r="G157" s="1">
        <v>45115</v>
      </c>
      <c r="H157" t="s">
        <v>22</v>
      </c>
      <c r="J157" t="s">
        <v>500</v>
      </c>
      <c r="L157" t="s">
        <v>28</v>
      </c>
      <c r="M157" t="s">
        <v>41</v>
      </c>
      <c r="N157">
        <v>4000</v>
      </c>
      <c r="O157" s="1">
        <v>45073</v>
      </c>
      <c r="P157" s="1">
        <v>45080</v>
      </c>
      <c r="Q157" s="1">
        <v>45092</v>
      </c>
      <c r="R157" s="1">
        <v>45099</v>
      </c>
      <c r="S157" t="s">
        <v>47</v>
      </c>
      <c r="T157" t="s">
        <v>26</v>
      </c>
      <c r="U157" t="s">
        <v>26</v>
      </c>
    </row>
    <row r="158" spans="1:21" hidden="1" x14ac:dyDescent="0.45">
      <c r="A158">
        <v>48764</v>
      </c>
      <c r="B158" t="s">
        <v>215</v>
      </c>
      <c r="C158" t="s">
        <v>501</v>
      </c>
      <c r="D158" t="s">
        <v>502</v>
      </c>
      <c r="F158" s="1">
        <v>45012</v>
      </c>
      <c r="G158" s="1">
        <v>45142</v>
      </c>
      <c r="H158" t="s">
        <v>53</v>
      </c>
      <c r="J158" t="s">
        <v>503</v>
      </c>
      <c r="L158" t="s">
        <v>28</v>
      </c>
      <c r="M158" t="s">
        <v>108</v>
      </c>
      <c r="N158" t="s">
        <v>108</v>
      </c>
      <c r="O158" s="1">
        <v>45038</v>
      </c>
      <c r="P158" s="1">
        <v>45050</v>
      </c>
      <c r="Q158" s="1">
        <v>45062</v>
      </c>
      <c r="R158" s="1">
        <v>45072</v>
      </c>
      <c r="S158" t="s">
        <v>458</v>
      </c>
      <c r="T158" t="s">
        <v>26</v>
      </c>
      <c r="U158" t="s">
        <v>26</v>
      </c>
    </row>
    <row r="159" spans="1:21" hidden="1" x14ac:dyDescent="0.45">
      <c r="A159">
        <v>48765</v>
      </c>
      <c r="B159" t="s">
        <v>215</v>
      </c>
      <c r="C159" t="s">
        <v>504</v>
      </c>
      <c r="D159" t="s">
        <v>505</v>
      </c>
      <c r="F159" s="1">
        <v>45012</v>
      </c>
      <c r="G159" s="1">
        <v>45141</v>
      </c>
      <c r="H159" t="s">
        <v>22</v>
      </c>
      <c r="J159" t="s">
        <v>506</v>
      </c>
      <c r="L159" t="s">
        <v>28</v>
      </c>
      <c r="M159" t="s">
        <v>108</v>
      </c>
      <c r="N159" t="s">
        <v>108</v>
      </c>
      <c r="O159" s="1">
        <v>45014</v>
      </c>
      <c r="P159" s="1">
        <v>45029</v>
      </c>
      <c r="Q159" s="1">
        <v>45041</v>
      </c>
      <c r="R159" t="s">
        <v>404</v>
      </c>
      <c r="S159" t="s">
        <v>507</v>
      </c>
      <c r="T159" t="s">
        <v>26</v>
      </c>
      <c r="U159" t="s">
        <v>26</v>
      </c>
    </row>
    <row r="160" spans="1:21" hidden="1" x14ac:dyDescent="0.45">
      <c r="A160">
        <v>48765</v>
      </c>
      <c r="B160" t="s">
        <v>215</v>
      </c>
      <c r="C160" t="s">
        <v>504</v>
      </c>
      <c r="D160" t="s">
        <v>505</v>
      </c>
      <c r="F160" s="1">
        <v>45012</v>
      </c>
      <c r="G160" s="1">
        <v>45141</v>
      </c>
      <c r="H160" t="s">
        <v>22</v>
      </c>
      <c r="J160" t="s">
        <v>508</v>
      </c>
      <c r="L160" t="s">
        <v>28</v>
      </c>
      <c r="M160" t="s">
        <v>108</v>
      </c>
      <c r="N160" t="s">
        <v>108</v>
      </c>
      <c r="O160" s="1">
        <v>45072</v>
      </c>
      <c r="P160" t="s">
        <v>509</v>
      </c>
      <c r="Q160" t="s">
        <v>510</v>
      </c>
      <c r="R160" t="s">
        <v>511</v>
      </c>
      <c r="S160" t="s">
        <v>512</v>
      </c>
      <c r="T160" t="s">
        <v>26</v>
      </c>
      <c r="U160" t="s">
        <v>26</v>
      </c>
    </row>
    <row r="161" spans="1:21" hidden="1" x14ac:dyDescent="0.45">
      <c r="A161">
        <v>48438</v>
      </c>
      <c r="B161" t="s">
        <v>55</v>
      </c>
      <c r="C161" t="s">
        <v>513</v>
      </c>
      <c r="D161" t="s">
        <v>514</v>
      </c>
      <c r="F161" s="1">
        <v>45034</v>
      </c>
      <c r="G161" s="1">
        <v>45052</v>
      </c>
      <c r="H161" t="s">
        <v>192</v>
      </c>
      <c r="J161" t="s">
        <v>515</v>
      </c>
      <c r="L161" t="s">
        <v>192</v>
      </c>
      <c r="M161" t="s">
        <v>25</v>
      </c>
      <c r="N161" t="s">
        <v>32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</row>
    <row r="162" spans="1:21" hidden="1" x14ac:dyDescent="0.45">
      <c r="A162">
        <v>48439</v>
      </c>
      <c r="B162" t="s">
        <v>55</v>
      </c>
      <c r="C162" t="s">
        <v>516</v>
      </c>
      <c r="D162" t="s">
        <v>517</v>
      </c>
      <c r="F162" s="1">
        <v>45052</v>
      </c>
      <c r="G162" s="1">
        <v>45106</v>
      </c>
      <c r="H162" t="s">
        <v>22</v>
      </c>
      <c r="J162" t="s">
        <v>518</v>
      </c>
      <c r="L162" t="s">
        <v>28</v>
      </c>
      <c r="M162" t="s">
        <v>177</v>
      </c>
      <c r="N162">
        <v>1250</v>
      </c>
      <c r="O162" t="s">
        <v>35</v>
      </c>
      <c r="P162" t="s">
        <v>35</v>
      </c>
      <c r="Q162" t="s">
        <v>35</v>
      </c>
      <c r="R162" t="s">
        <v>35</v>
      </c>
      <c r="S162" s="1">
        <v>45059</v>
      </c>
      <c r="T162" t="s">
        <v>26</v>
      </c>
      <c r="U162" t="s">
        <v>26</v>
      </c>
    </row>
    <row r="163" spans="1:21" hidden="1" x14ac:dyDescent="0.45">
      <c r="A163">
        <v>48439</v>
      </c>
      <c r="B163" t="s">
        <v>55</v>
      </c>
      <c r="C163" t="s">
        <v>516</v>
      </c>
      <c r="D163" t="s">
        <v>517</v>
      </c>
      <c r="F163" s="1">
        <v>45052</v>
      </c>
      <c r="G163" s="1">
        <v>45106</v>
      </c>
      <c r="H163" t="s">
        <v>22</v>
      </c>
      <c r="J163" t="s">
        <v>519</v>
      </c>
      <c r="L163" t="s">
        <v>28</v>
      </c>
      <c r="M163" t="s">
        <v>177</v>
      </c>
      <c r="N163">
        <v>1250</v>
      </c>
      <c r="O163" t="s">
        <v>35</v>
      </c>
      <c r="P163" s="1">
        <v>45056</v>
      </c>
      <c r="Q163" s="1">
        <v>45068</v>
      </c>
      <c r="R163" s="1">
        <v>45079</v>
      </c>
      <c r="S163" s="1">
        <v>45087</v>
      </c>
      <c r="T163" t="s">
        <v>26</v>
      </c>
      <c r="U163" t="s">
        <v>26</v>
      </c>
    </row>
    <row r="164" spans="1:21" hidden="1" x14ac:dyDescent="0.45">
      <c r="A164">
        <v>48464</v>
      </c>
      <c r="B164" t="s">
        <v>451</v>
      </c>
      <c r="C164" t="s">
        <v>520</v>
      </c>
      <c r="D164" t="s">
        <v>521</v>
      </c>
      <c r="F164" s="1">
        <v>45072</v>
      </c>
      <c r="G164" s="1">
        <v>45119</v>
      </c>
      <c r="H164" t="s">
        <v>53</v>
      </c>
      <c r="J164" t="s">
        <v>522</v>
      </c>
      <c r="K164" t="s">
        <v>670</v>
      </c>
      <c r="L164" t="s">
        <v>75</v>
      </c>
      <c r="M164" t="s">
        <v>462</v>
      </c>
      <c r="N164">
        <v>500</v>
      </c>
      <c r="O164" t="s">
        <v>35</v>
      </c>
      <c r="P164" s="1">
        <v>45080</v>
      </c>
      <c r="Q164" s="1">
        <v>45092</v>
      </c>
      <c r="R164" t="s">
        <v>523</v>
      </c>
      <c r="S164" t="s">
        <v>524</v>
      </c>
      <c r="T164" t="s">
        <v>26</v>
      </c>
      <c r="U164" s="1">
        <v>45082</v>
      </c>
    </row>
    <row r="165" spans="1:21" x14ac:dyDescent="0.45">
      <c r="A165">
        <v>48447</v>
      </c>
      <c r="B165" t="s">
        <v>451</v>
      </c>
      <c r="C165" t="s">
        <v>525</v>
      </c>
      <c r="D165" t="s">
        <v>526</v>
      </c>
      <c r="F165" s="1">
        <v>45093</v>
      </c>
      <c r="G165" s="1">
        <v>45131</v>
      </c>
      <c r="H165" t="s">
        <v>53</v>
      </c>
      <c r="J165" t="s">
        <v>527</v>
      </c>
      <c r="K165" t="s">
        <v>671</v>
      </c>
      <c r="L165" t="s">
        <v>75</v>
      </c>
      <c r="M165" t="s">
        <v>528</v>
      </c>
      <c r="N165" t="s">
        <v>529</v>
      </c>
      <c r="O165" t="s">
        <v>35</v>
      </c>
      <c r="P165" s="1">
        <v>45100</v>
      </c>
      <c r="Q165" s="1">
        <v>45112</v>
      </c>
      <c r="R165" s="1">
        <v>45122</v>
      </c>
      <c r="S165" t="s">
        <v>47</v>
      </c>
      <c r="T165" t="s">
        <v>26</v>
      </c>
      <c r="U165" s="1">
        <v>45097</v>
      </c>
    </row>
    <row r="166" spans="1:21" hidden="1" x14ac:dyDescent="0.45">
      <c r="A166">
        <v>48466</v>
      </c>
      <c r="B166" t="s">
        <v>227</v>
      </c>
      <c r="C166" t="s">
        <v>530</v>
      </c>
      <c r="D166" t="s">
        <v>531</v>
      </c>
      <c r="F166" s="1">
        <v>45011</v>
      </c>
      <c r="G166" s="1">
        <v>45136</v>
      </c>
      <c r="H166" t="s">
        <v>39</v>
      </c>
      <c r="J166" t="s">
        <v>532</v>
      </c>
      <c r="L166" t="s">
        <v>28</v>
      </c>
      <c r="M166" t="s">
        <v>25</v>
      </c>
      <c r="N166">
        <v>300</v>
      </c>
      <c r="O166" t="s">
        <v>35</v>
      </c>
      <c r="P166" t="s">
        <v>533</v>
      </c>
      <c r="Q166" t="s">
        <v>534</v>
      </c>
      <c r="R166" s="1">
        <v>45045</v>
      </c>
      <c r="S166" s="1">
        <v>45065</v>
      </c>
      <c r="T166" t="s">
        <v>26</v>
      </c>
      <c r="U166" t="s">
        <v>26</v>
      </c>
    </row>
    <row r="167" spans="1:21" hidden="1" x14ac:dyDescent="0.45">
      <c r="A167">
        <v>48478</v>
      </c>
      <c r="B167" t="s">
        <v>104</v>
      </c>
      <c r="C167" t="s">
        <v>535</v>
      </c>
      <c r="D167" t="s">
        <v>535</v>
      </c>
      <c r="F167" s="1">
        <v>45027</v>
      </c>
      <c r="G167" s="1">
        <v>45083</v>
      </c>
      <c r="H167" t="s">
        <v>192</v>
      </c>
      <c r="J167" t="s">
        <v>536</v>
      </c>
      <c r="L167" t="s">
        <v>192</v>
      </c>
      <c r="M167" t="s">
        <v>537</v>
      </c>
      <c r="N167">
        <v>0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</row>
    <row r="168" spans="1:21" hidden="1" x14ac:dyDescent="0.45">
      <c r="A168">
        <v>48456</v>
      </c>
      <c r="B168" t="s">
        <v>104</v>
      </c>
      <c r="C168" t="s">
        <v>538</v>
      </c>
      <c r="D168" t="s">
        <v>538</v>
      </c>
      <c r="F168" s="1">
        <v>45034</v>
      </c>
      <c r="G168" s="1">
        <v>45091</v>
      </c>
      <c r="H168" t="s">
        <v>32</v>
      </c>
      <c r="J168" t="s">
        <v>539</v>
      </c>
      <c r="L168" t="s">
        <v>32</v>
      </c>
      <c r="M168" t="s">
        <v>391</v>
      </c>
      <c r="N168">
        <v>0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</row>
    <row r="169" spans="1:21" hidden="1" x14ac:dyDescent="0.45">
      <c r="A169">
        <v>48398</v>
      </c>
      <c r="B169" t="s">
        <v>351</v>
      </c>
      <c r="C169" t="s">
        <v>540</v>
      </c>
      <c r="D169" t="s">
        <v>541</v>
      </c>
      <c r="F169" s="1">
        <v>45026</v>
      </c>
      <c r="G169" s="1">
        <v>45147</v>
      </c>
      <c r="H169" t="s">
        <v>22</v>
      </c>
      <c r="J169" t="s">
        <v>542</v>
      </c>
      <c r="L169" t="s">
        <v>28</v>
      </c>
      <c r="M169" t="s">
        <v>355</v>
      </c>
      <c r="N169">
        <v>165</v>
      </c>
      <c r="O169" t="s">
        <v>26</v>
      </c>
      <c r="P169" t="s">
        <v>26</v>
      </c>
      <c r="Q169" t="s">
        <v>26</v>
      </c>
      <c r="R169" s="1">
        <v>45094</v>
      </c>
      <c r="S169" s="1">
        <v>45115</v>
      </c>
      <c r="T169" t="s">
        <v>26</v>
      </c>
      <c r="U169" t="s">
        <v>26</v>
      </c>
    </row>
    <row r="170" spans="1:21" hidden="1" x14ac:dyDescent="0.45">
      <c r="A170">
        <v>48398</v>
      </c>
      <c r="B170" t="s">
        <v>351</v>
      </c>
      <c r="C170" t="s">
        <v>540</v>
      </c>
      <c r="D170" t="s">
        <v>541</v>
      </c>
      <c r="F170" s="1">
        <v>45026</v>
      </c>
      <c r="G170" s="1">
        <v>45147</v>
      </c>
      <c r="H170" t="s">
        <v>22</v>
      </c>
      <c r="J170" t="s">
        <v>543</v>
      </c>
      <c r="L170" t="s">
        <v>28</v>
      </c>
      <c r="M170" t="s">
        <v>355</v>
      </c>
      <c r="N170">
        <v>165</v>
      </c>
      <c r="O170" t="s">
        <v>26</v>
      </c>
      <c r="P170" t="s">
        <v>26</v>
      </c>
      <c r="Q170" t="s">
        <v>26</v>
      </c>
      <c r="R170" s="1">
        <v>45134</v>
      </c>
      <c r="S170" s="1">
        <v>45142</v>
      </c>
      <c r="T170" t="s">
        <v>26</v>
      </c>
      <c r="U170" t="s">
        <v>26</v>
      </c>
    </row>
    <row r="171" spans="1:21" hidden="1" x14ac:dyDescent="0.45">
      <c r="A171">
        <v>48393</v>
      </c>
      <c r="B171" t="s">
        <v>351</v>
      </c>
      <c r="C171" t="s">
        <v>544</v>
      </c>
      <c r="D171" t="s">
        <v>545</v>
      </c>
      <c r="F171" s="1">
        <v>45026</v>
      </c>
      <c r="G171" s="1">
        <v>45145</v>
      </c>
      <c r="H171" t="s">
        <v>53</v>
      </c>
      <c r="J171" t="s">
        <v>546</v>
      </c>
      <c r="K171" t="s">
        <v>669</v>
      </c>
      <c r="L171" t="s">
        <v>75</v>
      </c>
      <c r="M171" t="s">
        <v>547</v>
      </c>
      <c r="N171">
        <v>200</v>
      </c>
      <c r="O171" t="s">
        <v>26</v>
      </c>
      <c r="P171" s="1">
        <v>45049</v>
      </c>
      <c r="Q171" s="1">
        <v>45061</v>
      </c>
      <c r="R171" s="1">
        <v>45070</v>
      </c>
      <c r="S171" s="1">
        <v>45080</v>
      </c>
      <c r="T171" t="s">
        <v>26</v>
      </c>
      <c r="U171" s="1">
        <v>45067</v>
      </c>
    </row>
    <row r="172" spans="1:21" hidden="1" x14ac:dyDescent="0.45">
      <c r="A172">
        <v>48471</v>
      </c>
      <c r="B172" t="s">
        <v>240</v>
      </c>
      <c r="C172" t="s">
        <v>548</v>
      </c>
      <c r="D172" t="s">
        <v>549</v>
      </c>
      <c r="F172" s="1">
        <v>45023</v>
      </c>
      <c r="G172" s="1">
        <v>45132</v>
      </c>
      <c r="H172" t="s">
        <v>39</v>
      </c>
      <c r="J172" t="s">
        <v>550</v>
      </c>
      <c r="L172" t="s">
        <v>28</v>
      </c>
      <c r="M172" t="s">
        <v>183</v>
      </c>
      <c r="N172">
        <v>100</v>
      </c>
      <c r="O172" t="s">
        <v>35</v>
      </c>
      <c r="P172" s="1">
        <v>45039</v>
      </c>
      <c r="Q172" s="1">
        <v>45051</v>
      </c>
      <c r="R172" s="1">
        <v>45063</v>
      </c>
      <c r="S172" s="1">
        <v>45084</v>
      </c>
      <c r="T172" t="s">
        <v>26</v>
      </c>
      <c r="U172" t="s">
        <v>26</v>
      </c>
    </row>
    <row r="173" spans="1:21" hidden="1" x14ac:dyDescent="0.45">
      <c r="A173">
        <v>48469</v>
      </c>
      <c r="B173" t="s">
        <v>240</v>
      </c>
      <c r="C173" t="s">
        <v>551</v>
      </c>
      <c r="D173" t="s">
        <v>552</v>
      </c>
      <c r="F173" s="1">
        <v>45023</v>
      </c>
      <c r="G173" s="1">
        <v>45132</v>
      </c>
      <c r="H173" t="s">
        <v>39</v>
      </c>
      <c r="J173" t="s">
        <v>553</v>
      </c>
      <c r="L173" t="s">
        <v>28</v>
      </c>
      <c r="M173" t="s">
        <v>554</v>
      </c>
      <c r="N173">
        <v>300</v>
      </c>
      <c r="O173" t="s">
        <v>35</v>
      </c>
      <c r="P173" s="1">
        <v>45035</v>
      </c>
      <c r="Q173" s="1">
        <v>45047</v>
      </c>
      <c r="R173" s="1">
        <v>45054</v>
      </c>
      <c r="S173" s="1">
        <v>45106</v>
      </c>
      <c r="T173" t="s">
        <v>26</v>
      </c>
      <c r="U173" t="s">
        <v>26</v>
      </c>
    </row>
    <row r="174" spans="1:21" hidden="1" x14ac:dyDescent="0.45">
      <c r="A174">
        <v>65446</v>
      </c>
      <c r="B174" t="s">
        <v>243</v>
      </c>
      <c r="C174" t="s">
        <v>555</v>
      </c>
      <c r="D174" t="s">
        <v>556</v>
      </c>
      <c r="F174" s="1">
        <v>45405</v>
      </c>
      <c r="G174" s="1">
        <v>45523</v>
      </c>
      <c r="H174" t="s">
        <v>187</v>
      </c>
      <c r="I174" t="s">
        <v>188</v>
      </c>
      <c r="J174" t="s">
        <v>557</v>
      </c>
      <c r="L174" t="s">
        <v>28</v>
      </c>
      <c r="M174" t="s">
        <v>177</v>
      </c>
      <c r="N174" t="s">
        <v>558</v>
      </c>
      <c r="O174" t="s">
        <v>35</v>
      </c>
      <c r="P174" t="s">
        <v>35</v>
      </c>
      <c r="Q174" t="s">
        <v>35</v>
      </c>
      <c r="R174" s="1">
        <v>45418</v>
      </c>
      <c r="S174" t="s">
        <v>26</v>
      </c>
      <c r="T174" t="s">
        <v>26</v>
      </c>
      <c r="U174" t="s">
        <v>26</v>
      </c>
    </row>
    <row r="175" spans="1:21" hidden="1" x14ac:dyDescent="0.45">
      <c r="A175">
        <v>65446</v>
      </c>
      <c r="B175" t="s">
        <v>243</v>
      </c>
      <c r="C175" t="s">
        <v>555</v>
      </c>
      <c r="D175" t="s">
        <v>556</v>
      </c>
      <c r="F175" s="1">
        <v>45405</v>
      </c>
      <c r="G175" s="1">
        <v>45523</v>
      </c>
      <c r="H175" t="s">
        <v>187</v>
      </c>
      <c r="I175" t="s">
        <v>188</v>
      </c>
      <c r="J175" t="s">
        <v>559</v>
      </c>
      <c r="L175" t="s">
        <v>28</v>
      </c>
      <c r="M175" t="s">
        <v>177</v>
      </c>
      <c r="N175" t="s">
        <v>558</v>
      </c>
      <c r="O175" s="1">
        <v>45406</v>
      </c>
      <c r="P175" s="1">
        <v>45425</v>
      </c>
      <c r="Q175" s="1">
        <v>45437</v>
      </c>
      <c r="R175" t="s">
        <v>26</v>
      </c>
      <c r="S175" s="1">
        <v>45491</v>
      </c>
      <c r="T175" t="s">
        <v>26</v>
      </c>
      <c r="U175" t="s">
        <v>26</v>
      </c>
    </row>
    <row r="176" spans="1:21" hidden="1" x14ac:dyDescent="0.45">
      <c r="A176">
        <v>65447</v>
      </c>
      <c r="B176" t="s">
        <v>243</v>
      </c>
      <c r="C176" t="s">
        <v>560</v>
      </c>
      <c r="D176" t="s">
        <v>561</v>
      </c>
      <c r="F176" s="1">
        <v>45405</v>
      </c>
      <c r="G176" s="1">
        <v>45505</v>
      </c>
      <c r="H176" t="s">
        <v>22</v>
      </c>
      <c r="J176" t="s">
        <v>562</v>
      </c>
      <c r="L176" t="s">
        <v>28</v>
      </c>
      <c r="M176" t="s">
        <v>177</v>
      </c>
      <c r="N176">
        <v>100</v>
      </c>
      <c r="O176" t="s">
        <v>35</v>
      </c>
      <c r="P176" s="1">
        <v>45399</v>
      </c>
      <c r="Q176" s="1">
        <v>45411</v>
      </c>
      <c r="R176" s="1">
        <v>45422</v>
      </c>
      <c r="S176" t="s">
        <v>26</v>
      </c>
      <c r="T176" t="s">
        <v>26</v>
      </c>
      <c r="U176" t="s">
        <v>26</v>
      </c>
    </row>
    <row r="177" spans="1:21" hidden="1" x14ac:dyDescent="0.45">
      <c r="A177">
        <v>65447</v>
      </c>
      <c r="B177" t="s">
        <v>243</v>
      </c>
      <c r="C177" t="s">
        <v>560</v>
      </c>
      <c r="D177" t="s">
        <v>561</v>
      </c>
      <c r="F177" s="1">
        <v>45405</v>
      </c>
      <c r="G177" s="1">
        <v>45505</v>
      </c>
      <c r="H177" t="s">
        <v>22</v>
      </c>
      <c r="J177" t="s">
        <v>563</v>
      </c>
      <c r="L177" t="s">
        <v>28</v>
      </c>
      <c r="M177" t="s">
        <v>177</v>
      </c>
      <c r="N177">
        <v>100</v>
      </c>
      <c r="O177" s="1">
        <v>45423</v>
      </c>
      <c r="P177" s="1">
        <v>45435</v>
      </c>
      <c r="Q177" s="1">
        <v>45447</v>
      </c>
      <c r="R177" s="1">
        <v>45454</v>
      </c>
      <c r="S177" s="1">
        <v>45480</v>
      </c>
      <c r="T177" t="s">
        <v>26</v>
      </c>
      <c r="U177" t="s">
        <v>26</v>
      </c>
    </row>
    <row r="178" spans="1:21" hidden="1" x14ac:dyDescent="0.45">
      <c r="A178">
        <v>65444</v>
      </c>
      <c r="B178" t="s">
        <v>243</v>
      </c>
      <c r="C178" t="s">
        <v>564</v>
      </c>
      <c r="D178" t="s">
        <v>564</v>
      </c>
      <c r="F178" s="1">
        <v>45414</v>
      </c>
      <c r="G178" s="1">
        <v>45508</v>
      </c>
      <c r="H178" t="s">
        <v>187</v>
      </c>
      <c r="I178" t="s">
        <v>188</v>
      </c>
      <c r="J178" t="s">
        <v>565</v>
      </c>
      <c r="L178" t="s">
        <v>28</v>
      </c>
      <c r="M178" t="s">
        <v>177</v>
      </c>
      <c r="N178">
        <v>150</v>
      </c>
      <c r="O178" t="s">
        <v>35</v>
      </c>
      <c r="P178" t="s">
        <v>35</v>
      </c>
      <c r="Q178" t="s">
        <v>35</v>
      </c>
      <c r="R178" s="1">
        <v>45415</v>
      </c>
      <c r="S178" t="s">
        <v>26</v>
      </c>
      <c r="T178" t="s">
        <v>26</v>
      </c>
      <c r="U178" t="s">
        <v>26</v>
      </c>
    </row>
    <row r="179" spans="1:21" hidden="1" x14ac:dyDescent="0.45">
      <c r="A179">
        <v>65444</v>
      </c>
      <c r="B179" t="s">
        <v>243</v>
      </c>
      <c r="C179" t="s">
        <v>564</v>
      </c>
      <c r="D179" t="s">
        <v>564</v>
      </c>
      <c r="F179" s="1">
        <v>45414</v>
      </c>
      <c r="G179" s="1">
        <v>45508</v>
      </c>
      <c r="H179" t="s">
        <v>187</v>
      </c>
      <c r="I179" t="s">
        <v>188</v>
      </c>
      <c r="J179" t="s">
        <v>566</v>
      </c>
      <c r="L179" t="s">
        <v>28</v>
      </c>
      <c r="M179" t="s">
        <v>177</v>
      </c>
      <c r="N179">
        <v>150</v>
      </c>
      <c r="O179" t="s">
        <v>35</v>
      </c>
      <c r="P179" s="1">
        <v>45425</v>
      </c>
      <c r="Q179" s="1">
        <v>45437</v>
      </c>
      <c r="R179" t="s">
        <v>26</v>
      </c>
      <c r="S179" s="1">
        <v>45487</v>
      </c>
      <c r="T179" t="s">
        <v>26</v>
      </c>
      <c r="U179" t="s">
        <v>26</v>
      </c>
    </row>
    <row r="180" spans="1:21" x14ac:dyDescent="0.45">
      <c r="A180">
        <v>65453</v>
      </c>
      <c r="B180" t="s">
        <v>68</v>
      </c>
      <c r="C180" t="s">
        <v>567</v>
      </c>
      <c r="D180" t="s">
        <v>567</v>
      </c>
      <c r="F180" s="1">
        <v>45406</v>
      </c>
      <c r="G180" s="1">
        <v>45538</v>
      </c>
      <c r="H180" t="s">
        <v>53</v>
      </c>
      <c r="J180" t="s">
        <v>568</v>
      </c>
      <c r="K180" t="s">
        <v>671</v>
      </c>
      <c r="L180" t="s">
        <v>75</v>
      </c>
      <c r="M180" t="s">
        <v>25</v>
      </c>
      <c r="N180" s="2">
        <v>17500</v>
      </c>
      <c r="O180" s="1">
        <v>45437</v>
      </c>
      <c r="P180" s="1">
        <v>45444</v>
      </c>
      <c r="Q180" s="1">
        <v>45456</v>
      </c>
      <c r="R180" t="s">
        <v>26</v>
      </c>
      <c r="S180" t="s">
        <v>26</v>
      </c>
      <c r="T180" t="s">
        <v>26</v>
      </c>
      <c r="U180" s="1">
        <v>45462</v>
      </c>
    </row>
    <row r="181" spans="1:21" hidden="1" x14ac:dyDescent="0.45">
      <c r="A181">
        <v>65454</v>
      </c>
      <c r="B181" t="s">
        <v>68</v>
      </c>
      <c r="C181" t="s">
        <v>569</v>
      </c>
      <c r="D181" t="s">
        <v>569</v>
      </c>
      <c r="F181" s="1">
        <v>45406</v>
      </c>
      <c r="G181" s="1">
        <v>45508</v>
      </c>
      <c r="H181" t="s">
        <v>32</v>
      </c>
      <c r="J181" t="s">
        <v>570</v>
      </c>
      <c r="L181" t="s">
        <v>32</v>
      </c>
      <c r="M181" t="s">
        <v>25</v>
      </c>
      <c r="N181" t="s">
        <v>32</v>
      </c>
      <c r="O181" s="1">
        <v>45461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</row>
    <row r="182" spans="1:21" hidden="1" x14ac:dyDescent="0.45">
      <c r="A182">
        <v>63115</v>
      </c>
      <c r="B182" t="s">
        <v>144</v>
      </c>
      <c r="C182" t="s">
        <v>571</v>
      </c>
      <c r="D182" t="s">
        <v>572</v>
      </c>
      <c r="F182" s="1">
        <v>45433</v>
      </c>
      <c r="G182" s="1">
        <v>45519</v>
      </c>
      <c r="H182" t="s">
        <v>53</v>
      </c>
      <c r="J182" t="s">
        <v>573</v>
      </c>
      <c r="L182" t="s">
        <v>28</v>
      </c>
      <c r="M182" t="s">
        <v>108</v>
      </c>
      <c r="N182" t="s">
        <v>108</v>
      </c>
      <c r="O182" t="s">
        <v>35</v>
      </c>
      <c r="P182" s="1">
        <v>45429</v>
      </c>
      <c r="Q182" s="1">
        <v>45441</v>
      </c>
      <c r="R182" t="s">
        <v>26</v>
      </c>
      <c r="S182" s="1">
        <v>45477</v>
      </c>
      <c r="T182" t="s">
        <v>26</v>
      </c>
      <c r="U182" t="s">
        <v>26</v>
      </c>
    </row>
    <row r="183" spans="1:21" hidden="1" x14ac:dyDescent="0.45">
      <c r="A183">
        <v>65456</v>
      </c>
      <c r="B183" t="s">
        <v>170</v>
      </c>
      <c r="C183" t="s">
        <v>574</v>
      </c>
      <c r="D183" t="s">
        <v>575</v>
      </c>
      <c r="F183" s="1">
        <v>45390</v>
      </c>
      <c r="G183" s="1">
        <v>45516</v>
      </c>
      <c r="H183" t="s">
        <v>32</v>
      </c>
      <c r="J183" t="s">
        <v>576</v>
      </c>
      <c r="L183" t="s">
        <v>32</v>
      </c>
      <c r="M183" t="s">
        <v>108</v>
      </c>
      <c r="N183" t="s">
        <v>108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</row>
    <row r="184" spans="1:21" x14ac:dyDescent="0.45">
      <c r="A184">
        <v>63044</v>
      </c>
      <c r="B184" t="s">
        <v>282</v>
      </c>
      <c r="C184" t="s">
        <v>577</v>
      </c>
      <c r="D184" t="s">
        <v>577</v>
      </c>
      <c r="F184" s="1">
        <v>45366</v>
      </c>
      <c r="G184" s="1">
        <v>45467</v>
      </c>
      <c r="H184" t="s">
        <v>22</v>
      </c>
      <c r="J184" t="s">
        <v>578</v>
      </c>
      <c r="K184" t="s">
        <v>671</v>
      </c>
      <c r="L184" t="s">
        <v>75</v>
      </c>
      <c r="M184" t="s">
        <v>41</v>
      </c>
      <c r="N184">
        <v>500</v>
      </c>
      <c r="O184" s="1">
        <v>45366</v>
      </c>
      <c r="P184" s="1">
        <v>45405</v>
      </c>
      <c r="Q184" s="1">
        <v>45417</v>
      </c>
      <c r="R184" t="s">
        <v>579</v>
      </c>
      <c r="S184" t="s">
        <v>26</v>
      </c>
      <c r="T184" t="s">
        <v>26</v>
      </c>
      <c r="U184" s="1">
        <v>45408</v>
      </c>
    </row>
    <row r="185" spans="1:21" hidden="1" x14ac:dyDescent="0.45">
      <c r="A185">
        <v>63044</v>
      </c>
      <c r="B185" t="s">
        <v>282</v>
      </c>
      <c r="C185" t="s">
        <v>577</v>
      </c>
      <c r="D185" t="s">
        <v>577</v>
      </c>
      <c r="F185" s="1">
        <v>45366</v>
      </c>
      <c r="G185" s="1">
        <v>45467</v>
      </c>
      <c r="H185" t="s">
        <v>22</v>
      </c>
      <c r="J185" t="s">
        <v>580</v>
      </c>
      <c r="L185" t="s">
        <v>28</v>
      </c>
      <c r="M185" t="s">
        <v>41</v>
      </c>
      <c r="N185">
        <v>500</v>
      </c>
      <c r="O185" s="1">
        <v>45429</v>
      </c>
      <c r="P185" s="1">
        <v>45440</v>
      </c>
      <c r="Q185" s="1">
        <v>45452</v>
      </c>
      <c r="R185" s="1">
        <v>45461</v>
      </c>
      <c r="S185" t="s">
        <v>47</v>
      </c>
      <c r="T185" t="s">
        <v>26</v>
      </c>
      <c r="U185" t="s">
        <v>26</v>
      </c>
    </row>
    <row r="186" spans="1:21" hidden="1" x14ac:dyDescent="0.45">
      <c r="A186">
        <v>63085</v>
      </c>
      <c r="B186" t="s">
        <v>36</v>
      </c>
      <c r="C186" t="s">
        <v>581</v>
      </c>
      <c r="D186" t="s">
        <v>581</v>
      </c>
      <c r="F186" s="1">
        <v>45419</v>
      </c>
      <c r="G186" s="1">
        <v>45436</v>
      </c>
      <c r="H186" t="s">
        <v>192</v>
      </c>
      <c r="J186" t="s">
        <v>582</v>
      </c>
      <c r="L186" t="s">
        <v>192</v>
      </c>
      <c r="M186" t="s">
        <v>34</v>
      </c>
      <c r="N186" t="s">
        <v>32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</row>
    <row r="187" spans="1:21" hidden="1" x14ac:dyDescent="0.45">
      <c r="A187">
        <v>63088</v>
      </c>
      <c r="B187" t="s">
        <v>36</v>
      </c>
      <c r="C187" t="s">
        <v>583</v>
      </c>
      <c r="D187" t="s">
        <v>583</v>
      </c>
      <c r="E187" t="s">
        <v>584</v>
      </c>
      <c r="F187" s="1">
        <v>45419</v>
      </c>
      <c r="G187" s="1">
        <v>45436</v>
      </c>
      <c r="H187" t="s">
        <v>192</v>
      </c>
      <c r="J187" t="s">
        <v>585</v>
      </c>
      <c r="L187" t="s">
        <v>192</v>
      </c>
      <c r="M187" t="s">
        <v>34</v>
      </c>
      <c r="N187" t="s">
        <v>32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</row>
    <row r="188" spans="1:21" hidden="1" x14ac:dyDescent="0.45">
      <c r="A188">
        <v>63113</v>
      </c>
      <c r="B188" t="s">
        <v>36</v>
      </c>
      <c r="C188" t="s">
        <v>586</v>
      </c>
      <c r="D188" t="s">
        <v>586</v>
      </c>
      <c r="E188" t="s">
        <v>584</v>
      </c>
      <c r="F188" s="1">
        <v>45419</v>
      </c>
      <c r="G188" s="1">
        <v>45436</v>
      </c>
      <c r="H188" t="s">
        <v>192</v>
      </c>
      <c r="J188" t="s">
        <v>587</v>
      </c>
      <c r="L188" t="s">
        <v>192</v>
      </c>
      <c r="M188" t="s">
        <v>34</v>
      </c>
      <c r="N188" t="s">
        <v>32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</row>
    <row r="189" spans="1:21" hidden="1" x14ac:dyDescent="0.45">
      <c r="A189">
        <v>63114</v>
      </c>
      <c r="B189" t="s">
        <v>451</v>
      </c>
      <c r="C189" t="s">
        <v>588</v>
      </c>
      <c r="D189" t="s">
        <v>589</v>
      </c>
      <c r="F189" s="1">
        <v>45407</v>
      </c>
      <c r="G189" s="1">
        <v>45485</v>
      </c>
      <c r="H189" t="s">
        <v>39</v>
      </c>
      <c r="J189" t="s">
        <v>590</v>
      </c>
      <c r="L189" t="s">
        <v>28</v>
      </c>
      <c r="M189" t="s">
        <v>462</v>
      </c>
      <c r="N189">
        <v>5000</v>
      </c>
      <c r="O189" t="s">
        <v>35</v>
      </c>
      <c r="P189" t="s">
        <v>26</v>
      </c>
      <c r="Q189" t="s">
        <v>26</v>
      </c>
      <c r="R189" t="s">
        <v>591</v>
      </c>
      <c r="S189" s="1">
        <v>45455</v>
      </c>
      <c r="T189" t="s">
        <v>26</v>
      </c>
      <c r="U189" t="s">
        <v>26</v>
      </c>
    </row>
    <row r="190" spans="1:21" hidden="1" x14ac:dyDescent="0.45">
      <c r="A190">
        <v>63087</v>
      </c>
      <c r="B190" t="s">
        <v>112</v>
      </c>
      <c r="C190" t="s">
        <v>592</v>
      </c>
      <c r="D190" t="s">
        <v>593</v>
      </c>
      <c r="F190" s="1">
        <v>45392</v>
      </c>
      <c r="G190" s="1">
        <v>45474</v>
      </c>
      <c r="H190" t="s">
        <v>192</v>
      </c>
      <c r="J190" t="s">
        <v>594</v>
      </c>
      <c r="L190" t="s">
        <v>192</v>
      </c>
      <c r="M190" t="s">
        <v>177</v>
      </c>
      <c r="N190" t="s">
        <v>108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</row>
    <row r="191" spans="1:21" hidden="1" x14ac:dyDescent="0.45">
      <c r="A191">
        <v>66012</v>
      </c>
      <c r="B191" t="s">
        <v>288</v>
      </c>
      <c r="C191" t="s">
        <v>595</v>
      </c>
      <c r="D191" t="s">
        <v>596</v>
      </c>
      <c r="F191" s="1">
        <v>45439</v>
      </c>
      <c r="G191" s="1">
        <v>45445</v>
      </c>
      <c r="H191" t="s">
        <v>45</v>
      </c>
      <c r="J191" t="s">
        <v>597</v>
      </c>
      <c r="L191" t="s">
        <v>28</v>
      </c>
      <c r="M191" t="s">
        <v>291</v>
      </c>
      <c r="N191">
        <v>500</v>
      </c>
      <c r="O191" t="s">
        <v>35</v>
      </c>
      <c r="P191" t="s">
        <v>35</v>
      </c>
      <c r="Q191" t="s">
        <v>35</v>
      </c>
      <c r="R191" t="s">
        <v>35</v>
      </c>
      <c r="S191" t="s">
        <v>47</v>
      </c>
      <c r="T191" t="s">
        <v>26</v>
      </c>
      <c r="U191" t="s">
        <v>26</v>
      </c>
    </row>
    <row r="192" spans="1:21" hidden="1" x14ac:dyDescent="0.45">
      <c r="A192">
        <v>77023</v>
      </c>
      <c r="B192" t="s">
        <v>104</v>
      </c>
      <c r="C192" t="s">
        <v>598</v>
      </c>
      <c r="D192" t="s">
        <v>598</v>
      </c>
      <c r="F192" s="1">
        <v>45398</v>
      </c>
      <c r="G192" s="1">
        <v>45445</v>
      </c>
      <c r="H192" t="s">
        <v>32</v>
      </c>
      <c r="J192" t="s">
        <v>599</v>
      </c>
      <c r="L192" t="s">
        <v>32</v>
      </c>
      <c r="M192" t="s">
        <v>465</v>
      </c>
      <c r="N192">
        <v>6000</v>
      </c>
      <c r="O192" s="1">
        <v>45402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</row>
    <row r="193" spans="1:21" hidden="1" x14ac:dyDescent="0.45">
      <c r="A193">
        <v>63086</v>
      </c>
      <c r="B193" t="s">
        <v>292</v>
      </c>
      <c r="C193" t="s">
        <v>600</v>
      </c>
      <c r="D193" t="s">
        <v>601</v>
      </c>
      <c r="F193" s="1">
        <v>45416</v>
      </c>
      <c r="G193" s="1">
        <v>45487</v>
      </c>
      <c r="H193" t="s">
        <v>192</v>
      </c>
      <c r="J193" t="s">
        <v>602</v>
      </c>
      <c r="L193" t="s">
        <v>192</v>
      </c>
      <c r="M193" t="s">
        <v>469</v>
      </c>
      <c r="N193" t="s">
        <v>108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</row>
    <row r="194" spans="1:21" hidden="1" x14ac:dyDescent="0.45">
      <c r="A194">
        <v>65471</v>
      </c>
      <c r="B194" t="s">
        <v>144</v>
      </c>
      <c r="C194" t="s">
        <v>603</v>
      </c>
      <c r="D194" t="s">
        <v>604</v>
      </c>
      <c r="F194" s="1">
        <v>45397</v>
      </c>
      <c r="G194" s="1">
        <v>45505</v>
      </c>
      <c r="H194" t="s">
        <v>53</v>
      </c>
      <c r="J194" t="s">
        <v>605</v>
      </c>
      <c r="L194" t="s">
        <v>28</v>
      </c>
      <c r="M194" t="s">
        <v>606</v>
      </c>
      <c r="N194" t="s">
        <v>607</v>
      </c>
      <c r="O194" t="s">
        <v>35</v>
      </c>
      <c r="P194" s="1">
        <v>45399</v>
      </c>
      <c r="Q194" s="1">
        <v>45411</v>
      </c>
      <c r="R194" s="1">
        <v>45424</v>
      </c>
      <c r="S194" s="1">
        <v>45459</v>
      </c>
      <c r="T194" t="s">
        <v>26</v>
      </c>
      <c r="U194" t="s">
        <v>26</v>
      </c>
    </row>
    <row r="195" spans="1:21" hidden="1" x14ac:dyDescent="0.45">
      <c r="A195">
        <v>65469</v>
      </c>
      <c r="B195" t="s">
        <v>144</v>
      </c>
      <c r="C195" t="s">
        <v>608</v>
      </c>
      <c r="D195" t="s">
        <v>609</v>
      </c>
      <c r="E195" t="s">
        <v>610</v>
      </c>
      <c r="F195" s="1">
        <v>45398</v>
      </c>
      <c r="G195" s="1">
        <v>45505</v>
      </c>
      <c r="H195" t="s">
        <v>53</v>
      </c>
      <c r="J195" t="s">
        <v>611</v>
      </c>
      <c r="L195" t="s">
        <v>28</v>
      </c>
      <c r="M195" t="s">
        <v>606</v>
      </c>
      <c r="N195" t="s">
        <v>612</v>
      </c>
      <c r="O195" t="s">
        <v>35</v>
      </c>
      <c r="P195" s="1">
        <v>45401</v>
      </c>
      <c r="Q195" s="1">
        <v>45413</v>
      </c>
      <c r="R195" s="1">
        <v>45430</v>
      </c>
      <c r="S195" s="1">
        <v>45446</v>
      </c>
      <c r="T195" t="s">
        <v>26</v>
      </c>
      <c r="U195" t="s">
        <v>26</v>
      </c>
    </row>
    <row r="196" spans="1:21" hidden="1" x14ac:dyDescent="0.45">
      <c r="A196">
        <v>65470</v>
      </c>
      <c r="B196" t="s">
        <v>144</v>
      </c>
      <c r="C196" t="s">
        <v>613</v>
      </c>
      <c r="D196" t="s">
        <v>614</v>
      </c>
      <c r="E196" t="s">
        <v>610</v>
      </c>
      <c r="F196" s="1">
        <v>45397</v>
      </c>
      <c r="G196" s="1">
        <v>45505</v>
      </c>
      <c r="H196" t="s">
        <v>53</v>
      </c>
      <c r="J196" t="s">
        <v>615</v>
      </c>
      <c r="L196" t="s">
        <v>28</v>
      </c>
      <c r="M196" t="s">
        <v>606</v>
      </c>
      <c r="N196" t="s">
        <v>108</v>
      </c>
      <c r="O196" t="s">
        <v>35</v>
      </c>
      <c r="P196" s="1">
        <v>45405</v>
      </c>
      <c r="Q196" s="1">
        <v>45417</v>
      </c>
      <c r="R196" s="1">
        <v>45425</v>
      </c>
      <c r="S196" s="1">
        <v>45444</v>
      </c>
      <c r="T196" t="s">
        <v>26</v>
      </c>
      <c r="U196" t="s">
        <v>26</v>
      </c>
    </row>
    <row r="197" spans="1:21" hidden="1" x14ac:dyDescent="0.45">
      <c r="A197">
        <v>63656</v>
      </c>
      <c r="B197" t="s">
        <v>215</v>
      </c>
      <c r="C197" t="s">
        <v>616</v>
      </c>
      <c r="D197" t="s">
        <v>616</v>
      </c>
      <c r="F197" s="1">
        <v>45377</v>
      </c>
      <c r="G197" s="1">
        <v>45511</v>
      </c>
      <c r="H197" t="s">
        <v>187</v>
      </c>
      <c r="I197" t="s">
        <v>188</v>
      </c>
      <c r="J197" t="s">
        <v>617</v>
      </c>
      <c r="L197" t="s">
        <v>28</v>
      </c>
      <c r="M197" t="s">
        <v>108</v>
      </c>
      <c r="N197" t="s">
        <v>108</v>
      </c>
      <c r="O197" t="s">
        <v>35</v>
      </c>
      <c r="P197" t="s">
        <v>26</v>
      </c>
      <c r="Q197" t="s">
        <v>26</v>
      </c>
      <c r="R197" t="s">
        <v>26</v>
      </c>
      <c r="S197" s="1">
        <v>45440</v>
      </c>
      <c r="T197" t="s">
        <v>26</v>
      </c>
      <c r="U197" t="s">
        <v>26</v>
      </c>
    </row>
    <row r="198" spans="1:21" hidden="1" x14ac:dyDescent="0.45">
      <c r="A198">
        <v>63656</v>
      </c>
      <c r="B198" t="s">
        <v>215</v>
      </c>
      <c r="C198" t="s">
        <v>616</v>
      </c>
      <c r="D198" t="s">
        <v>616</v>
      </c>
      <c r="F198" s="1">
        <v>45377</v>
      </c>
      <c r="G198" s="1">
        <v>45511</v>
      </c>
      <c r="H198" t="s">
        <v>187</v>
      </c>
      <c r="I198" t="s">
        <v>188</v>
      </c>
      <c r="J198" t="s">
        <v>618</v>
      </c>
      <c r="L198" t="s">
        <v>28</v>
      </c>
      <c r="M198" t="s">
        <v>108</v>
      </c>
      <c r="N198" t="s">
        <v>108</v>
      </c>
      <c r="O198" s="1">
        <v>45413</v>
      </c>
      <c r="P198" s="1">
        <v>45428</v>
      </c>
      <c r="Q198" s="1">
        <v>45440</v>
      </c>
      <c r="R198" s="1">
        <v>45452</v>
      </c>
      <c r="S198" s="1">
        <v>45505</v>
      </c>
      <c r="T198" t="s">
        <v>26</v>
      </c>
      <c r="U198" t="s">
        <v>26</v>
      </c>
    </row>
    <row r="199" spans="1:21" hidden="1" x14ac:dyDescent="0.45">
      <c r="A199">
        <v>63657</v>
      </c>
      <c r="B199" t="s">
        <v>215</v>
      </c>
      <c r="C199" t="s">
        <v>619</v>
      </c>
      <c r="D199" t="s">
        <v>619</v>
      </c>
      <c r="E199" t="s">
        <v>620</v>
      </c>
      <c r="F199" s="1">
        <v>45377</v>
      </c>
      <c r="G199" s="1">
        <v>45479</v>
      </c>
      <c r="H199" t="s">
        <v>187</v>
      </c>
      <c r="I199" t="s">
        <v>188</v>
      </c>
      <c r="J199" t="s">
        <v>621</v>
      </c>
      <c r="L199" t="s">
        <v>28</v>
      </c>
      <c r="M199" t="s">
        <v>108</v>
      </c>
      <c r="N199" t="s">
        <v>108</v>
      </c>
      <c r="O199" t="s">
        <v>35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</row>
    <row r="200" spans="1:21" hidden="1" x14ac:dyDescent="0.45">
      <c r="A200">
        <v>63657</v>
      </c>
      <c r="B200" t="s">
        <v>215</v>
      </c>
      <c r="C200" t="s">
        <v>619</v>
      </c>
      <c r="D200" t="s">
        <v>619</v>
      </c>
      <c r="E200" t="s">
        <v>620</v>
      </c>
      <c r="F200" s="1">
        <v>45377</v>
      </c>
      <c r="G200" s="1">
        <v>45479</v>
      </c>
      <c r="H200" t="s">
        <v>187</v>
      </c>
      <c r="I200" t="s">
        <v>188</v>
      </c>
      <c r="J200" t="s">
        <v>622</v>
      </c>
      <c r="L200" t="s">
        <v>28</v>
      </c>
      <c r="M200" t="s">
        <v>108</v>
      </c>
      <c r="N200" t="s">
        <v>108</v>
      </c>
      <c r="O200" s="1">
        <v>45413</v>
      </c>
      <c r="P200" s="1">
        <v>45426</v>
      </c>
      <c r="Q200" s="1">
        <v>45438</v>
      </c>
      <c r="R200" s="1">
        <v>45452</v>
      </c>
      <c r="S200" t="s">
        <v>47</v>
      </c>
      <c r="T200" t="s">
        <v>26</v>
      </c>
      <c r="U200" t="s">
        <v>26</v>
      </c>
    </row>
    <row r="201" spans="1:21" hidden="1" x14ac:dyDescent="0.45">
      <c r="A201">
        <v>63468</v>
      </c>
      <c r="B201" t="s">
        <v>215</v>
      </c>
      <c r="C201" t="s">
        <v>623</v>
      </c>
      <c r="D201" t="s">
        <v>623</v>
      </c>
      <c r="F201" s="1">
        <v>45378</v>
      </c>
      <c r="G201" s="1">
        <v>45465</v>
      </c>
      <c r="H201" t="s">
        <v>32</v>
      </c>
      <c r="J201" t="s">
        <v>624</v>
      </c>
      <c r="L201" t="s">
        <v>32</v>
      </c>
      <c r="M201" t="s">
        <v>108</v>
      </c>
      <c r="N201" t="s">
        <v>108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</row>
    <row r="202" spans="1:21" hidden="1" x14ac:dyDescent="0.45">
      <c r="A202">
        <v>63089</v>
      </c>
      <c r="B202" t="s">
        <v>55</v>
      </c>
      <c r="C202" t="s">
        <v>625</v>
      </c>
      <c r="D202" t="s">
        <v>626</v>
      </c>
      <c r="F202" s="1">
        <v>45448</v>
      </c>
      <c r="G202" s="1">
        <v>45465</v>
      </c>
      <c r="H202" t="s">
        <v>53</v>
      </c>
      <c r="J202" t="s">
        <v>627</v>
      </c>
      <c r="L202" t="s">
        <v>28</v>
      </c>
      <c r="M202" t="s">
        <v>337</v>
      </c>
      <c r="N202">
        <v>80</v>
      </c>
      <c r="O202" t="s">
        <v>35</v>
      </c>
      <c r="P202" t="s">
        <v>35</v>
      </c>
      <c r="Q202" t="s">
        <v>35</v>
      </c>
      <c r="R202" t="s">
        <v>628</v>
      </c>
      <c r="S202" t="s">
        <v>629</v>
      </c>
      <c r="T202" t="s">
        <v>26</v>
      </c>
      <c r="U202" t="s">
        <v>26</v>
      </c>
    </row>
    <row r="203" spans="1:21" hidden="1" x14ac:dyDescent="0.45">
      <c r="A203">
        <v>63049</v>
      </c>
      <c r="B203" t="s">
        <v>112</v>
      </c>
      <c r="C203" t="s">
        <v>630</v>
      </c>
      <c r="D203" t="s">
        <v>631</v>
      </c>
      <c r="F203" s="1">
        <v>45392</v>
      </c>
      <c r="G203" s="1">
        <v>45474</v>
      </c>
      <c r="H203" t="s">
        <v>39</v>
      </c>
      <c r="J203" t="s">
        <v>632</v>
      </c>
      <c r="L203" t="s">
        <v>28</v>
      </c>
      <c r="M203" t="s">
        <v>108</v>
      </c>
      <c r="N203" t="s">
        <v>108</v>
      </c>
      <c r="O203" t="s">
        <v>35</v>
      </c>
      <c r="P203" s="1">
        <v>45402</v>
      </c>
      <c r="Q203" s="1">
        <v>45414</v>
      </c>
      <c r="R203" s="1">
        <v>45430</v>
      </c>
      <c r="S203" t="s">
        <v>47</v>
      </c>
      <c r="T203" t="s">
        <v>26</v>
      </c>
      <c r="U203" t="s">
        <v>26</v>
      </c>
    </row>
    <row r="204" spans="1:21" hidden="1" x14ac:dyDescent="0.45">
      <c r="A204">
        <v>63738</v>
      </c>
      <c r="B204" t="s">
        <v>227</v>
      </c>
      <c r="C204" t="s">
        <v>633</v>
      </c>
      <c r="D204" t="s">
        <v>634</v>
      </c>
      <c r="F204" s="1">
        <v>45386</v>
      </c>
      <c r="G204" s="1">
        <v>45508</v>
      </c>
      <c r="H204" t="s">
        <v>39</v>
      </c>
      <c r="J204" t="s">
        <v>635</v>
      </c>
      <c r="L204" t="s">
        <v>28</v>
      </c>
      <c r="M204" t="s">
        <v>25</v>
      </c>
      <c r="N204">
        <v>300</v>
      </c>
      <c r="O204" t="s">
        <v>35</v>
      </c>
      <c r="P204" s="1">
        <v>45390</v>
      </c>
      <c r="Q204" s="1">
        <v>45402</v>
      </c>
      <c r="R204" s="1">
        <v>45420</v>
      </c>
      <c r="S204" s="1">
        <v>45462</v>
      </c>
      <c r="T204" t="s">
        <v>26</v>
      </c>
      <c r="U204" t="s">
        <v>26</v>
      </c>
    </row>
    <row r="205" spans="1:21" hidden="1" x14ac:dyDescent="0.45">
      <c r="A205">
        <v>63116</v>
      </c>
      <c r="B205" t="s">
        <v>351</v>
      </c>
      <c r="C205" t="s">
        <v>636</v>
      </c>
      <c r="D205" t="s">
        <v>637</v>
      </c>
      <c r="F205" s="1">
        <v>45376</v>
      </c>
      <c r="G205" s="1">
        <v>45507</v>
      </c>
      <c r="H205" t="s">
        <v>22</v>
      </c>
      <c r="J205" t="s">
        <v>638</v>
      </c>
      <c r="L205" t="s">
        <v>28</v>
      </c>
      <c r="M205" t="s">
        <v>355</v>
      </c>
      <c r="N205">
        <v>100</v>
      </c>
      <c r="O205" t="s">
        <v>26</v>
      </c>
      <c r="P205" s="1">
        <v>45438</v>
      </c>
      <c r="Q205" s="1">
        <v>45450</v>
      </c>
      <c r="R205" t="s">
        <v>639</v>
      </c>
      <c r="S205" t="s">
        <v>26</v>
      </c>
      <c r="T205" t="s">
        <v>26</v>
      </c>
      <c r="U205" t="s">
        <v>26</v>
      </c>
    </row>
    <row r="206" spans="1:21" hidden="1" x14ac:dyDescent="0.45">
      <c r="A206">
        <v>63116</v>
      </c>
      <c r="B206" t="s">
        <v>351</v>
      </c>
      <c r="C206" t="s">
        <v>636</v>
      </c>
      <c r="D206" t="s">
        <v>637</v>
      </c>
      <c r="F206" s="1">
        <v>45376</v>
      </c>
      <c r="G206" s="1">
        <v>45507</v>
      </c>
      <c r="H206" t="s">
        <v>22</v>
      </c>
      <c r="J206" t="s">
        <v>640</v>
      </c>
      <c r="L206" t="s">
        <v>28</v>
      </c>
      <c r="M206" t="s">
        <v>355</v>
      </c>
      <c r="N206">
        <v>100</v>
      </c>
      <c r="O206" t="s">
        <v>26</v>
      </c>
      <c r="P206" s="1">
        <v>45479</v>
      </c>
      <c r="Q206" s="1">
        <v>45491</v>
      </c>
      <c r="R206" s="1">
        <v>45500</v>
      </c>
      <c r="S206" t="s">
        <v>47</v>
      </c>
      <c r="T206" t="s">
        <v>26</v>
      </c>
      <c r="U206" t="s">
        <v>26</v>
      </c>
    </row>
    <row r="207" spans="1:21" hidden="1" x14ac:dyDescent="0.45">
      <c r="A207">
        <v>63465</v>
      </c>
      <c r="B207" t="s">
        <v>351</v>
      </c>
      <c r="C207" t="s">
        <v>641</v>
      </c>
      <c r="D207" t="s">
        <v>642</v>
      </c>
      <c r="F207" s="1">
        <v>45380</v>
      </c>
      <c r="G207" s="1">
        <v>45513</v>
      </c>
      <c r="H207" t="s">
        <v>53</v>
      </c>
      <c r="J207" t="s">
        <v>643</v>
      </c>
      <c r="K207" t="s">
        <v>669</v>
      </c>
      <c r="L207" t="s">
        <v>75</v>
      </c>
      <c r="M207" t="s">
        <v>644</v>
      </c>
      <c r="N207">
        <v>600</v>
      </c>
      <c r="O207" t="s">
        <v>26</v>
      </c>
      <c r="P207" s="1">
        <v>45410</v>
      </c>
      <c r="Q207" s="1">
        <v>45422</v>
      </c>
      <c r="R207" t="s">
        <v>645</v>
      </c>
      <c r="S207" s="1">
        <v>45446</v>
      </c>
      <c r="T207" t="s">
        <v>26</v>
      </c>
      <c r="U207" s="1">
        <v>45427</v>
      </c>
    </row>
    <row r="208" spans="1:21" hidden="1" x14ac:dyDescent="0.45">
      <c r="A208">
        <v>65481</v>
      </c>
      <c r="B208" t="s">
        <v>240</v>
      </c>
      <c r="C208" t="s">
        <v>646</v>
      </c>
      <c r="D208" t="s">
        <v>647</v>
      </c>
      <c r="F208" s="1">
        <v>45412</v>
      </c>
      <c r="G208" s="1">
        <v>45546</v>
      </c>
      <c r="H208" t="s">
        <v>39</v>
      </c>
      <c r="J208" t="s">
        <v>648</v>
      </c>
      <c r="L208" t="s">
        <v>28</v>
      </c>
      <c r="M208" t="s">
        <v>108</v>
      </c>
      <c r="N208" t="s">
        <v>108</v>
      </c>
      <c r="O208" t="s">
        <v>35</v>
      </c>
      <c r="P208" t="s">
        <v>35</v>
      </c>
      <c r="Q208" t="s">
        <v>35</v>
      </c>
      <c r="R208" t="s">
        <v>35</v>
      </c>
      <c r="S208" s="1">
        <v>45462</v>
      </c>
      <c r="T208" t="s">
        <v>26</v>
      </c>
      <c r="U208" t="s">
        <v>26</v>
      </c>
    </row>
    <row r="209" spans="1:21" hidden="1" x14ac:dyDescent="0.45">
      <c r="A209">
        <v>65482</v>
      </c>
      <c r="B209" t="s">
        <v>240</v>
      </c>
      <c r="C209" t="s">
        <v>649</v>
      </c>
      <c r="D209" t="s">
        <v>650</v>
      </c>
      <c r="F209" s="1">
        <v>45408</v>
      </c>
      <c r="G209" s="1">
        <v>45515</v>
      </c>
      <c r="H209" t="s">
        <v>187</v>
      </c>
      <c r="I209" t="s">
        <v>188</v>
      </c>
      <c r="J209" t="s">
        <v>651</v>
      </c>
      <c r="L209" t="s">
        <v>28</v>
      </c>
      <c r="M209" t="s">
        <v>108</v>
      </c>
      <c r="N209" t="s">
        <v>108</v>
      </c>
      <c r="O209" t="s">
        <v>35</v>
      </c>
      <c r="P209" t="s">
        <v>35</v>
      </c>
      <c r="Q209" t="s">
        <v>35</v>
      </c>
      <c r="R209" s="1">
        <v>45412</v>
      </c>
      <c r="S209" t="s">
        <v>26</v>
      </c>
      <c r="T209" t="s">
        <v>26</v>
      </c>
      <c r="U209" t="s">
        <v>26</v>
      </c>
    </row>
    <row r="210" spans="1:21" hidden="1" x14ac:dyDescent="0.45">
      <c r="A210">
        <v>65482</v>
      </c>
      <c r="B210" t="s">
        <v>240</v>
      </c>
      <c r="C210" t="s">
        <v>649</v>
      </c>
      <c r="D210" t="s">
        <v>650</v>
      </c>
      <c r="F210" s="1">
        <v>45408</v>
      </c>
      <c r="G210" s="1">
        <v>45515</v>
      </c>
      <c r="H210" t="s">
        <v>187</v>
      </c>
      <c r="I210" t="s">
        <v>188</v>
      </c>
      <c r="J210" t="s">
        <v>652</v>
      </c>
      <c r="L210" t="s">
        <v>28</v>
      </c>
      <c r="M210" t="s">
        <v>108</v>
      </c>
      <c r="N210" t="s">
        <v>108</v>
      </c>
      <c r="O210" t="s">
        <v>26</v>
      </c>
      <c r="P210" s="1">
        <v>45425</v>
      </c>
      <c r="Q210" s="1">
        <v>45437</v>
      </c>
      <c r="R210" s="1">
        <v>45454</v>
      </c>
      <c r="S210" s="1">
        <v>45476</v>
      </c>
      <c r="T210" t="s">
        <v>26</v>
      </c>
      <c r="U210" t="s">
        <v>26</v>
      </c>
    </row>
    <row r="211" spans="1:21" hidden="1" x14ac:dyDescent="0.45">
      <c r="A211">
        <v>65483</v>
      </c>
      <c r="B211" t="s">
        <v>240</v>
      </c>
      <c r="C211" t="s">
        <v>653</v>
      </c>
      <c r="D211" t="s">
        <v>654</v>
      </c>
      <c r="F211" s="1">
        <v>45412</v>
      </c>
      <c r="G211" s="1">
        <v>45535</v>
      </c>
      <c r="H211" t="s">
        <v>39</v>
      </c>
      <c r="J211" t="s">
        <v>655</v>
      </c>
      <c r="L211" t="s">
        <v>28</v>
      </c>
      <c r="M211" t="s">
        <v>108</v>
      </c>
      <c r="N211" t="s">
        <v>108</v>
      </c>
      <c r="O211" t="s">
        <v>35</v>
      </c>
      <c r="P211" t="s">
        <v>35</v>
      </c>
      <c r="Q211" t="s">
        <v>35</v>
      </c>
      <c r="R211" s="1">
        <v>45416</v>
      </c>
      <c r="S211" s="1">
        <v>45481</v>
      </c>
      <c r="T211" t="s">
        <v>26</v>
      </c>
      <c r="U211" t="s">
        <v>26</v>
      </c>
    </row>
    <row r="212" spans="1:21" hidden="1" x14ac:dyDescent="0.45">
      <c r="A212">
        <v>65480</v>
      </c>
      <c r="B212" t="s">
        <v>240</v>
      </c>
      <c r="C212" t="s">
        <v>656</v>
      </c>
      <c r="D212" t="s">
        <v>657</v>
      </c>
      <c r="F212" s="1">
        <v>45412</v>
      </c>
      <c r="G212" s="1">
        <v>45559</v>
      </c>
      <c r="H212" t="s">
        <v>53</v>
      </c>
      <c r="J212" t="s">
        <v>658</v>
      </c>
      <c r="L212" t="s">
        <v>28</v>
      </c>
      <c r="M212" t="s">
        <v>108</v>
      </c>
      <c r="N212" t="s">
        <v>108</v>
      </c>
      <c r="O212" t="s">
        <v>35</v>
      </c>
      <c r="P212" t="s">
        <v>35</v>
      </c>
      <c r="Q212" t="s">
        <v>35</v>
      </c>
      <c r="R212" s="1">
        <v>45429</v>
      </c>
      <c r="S212" s="1">
        <v>45452</v>
      </c>
      <c r="T212" t="s">
        <v>26</v>
      </c>
      <c r="U212" t="s">
        <v>26</v>
      </c>
    </row>
  </sheetData>
  <autoFilter ref="A1:U212" xr:uid="{130F6743-2E5A-427D-BF20-DA49B8503480}">
    <filterColumn colId="10">
      <filters>
        <filter val="yes"/>
      </filters>
    </filterColumn>
    <sortState xmlns:xlrd2="http://schemas.microsoft.com/office/spreadsheetml/2017/richdata2" ref="A2:U212">
      <sortCondition ref="J1:J2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breeding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Schackwitz</cp:lastModifiedBy>
  <dcterms:created xsi:type="dcterms:W3CDTF">2026-01-13T10:41:07Z</dcterms:created>
  <dcterms:modified xsi:type="dcterms:W3CDTF">2026-01-13T10:41:07Z</dcterms:modified>
</cp:coreProperties>
</file>