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5a57ba71521d2e/Documents/GitHub/TRBL-Utils/"/>
    </mc:Choice>
  </mc:AlternateContent>
  <xr:revisionPtr revIDLastSave="0" documentId="8_{276A48E3-F828-4E49-93B8-F2AD2521C129}" xr6:coauthVersionLast="47" xr6:coauthVersionMax="47" xr10:uidLastSave="{00000000-0000-0000-0000-000000000000}"/>
  <bookViews>
    <workbookView xWindow="-98" yWindow="-98" windowWidth="21795" windowHeight="13875" xr2:uid="{27329A5C-9968-493D-BC90-43EC78A08883}"/>
  </bookViews>
  <sheets>
    <sheet name="Sheet1 (2)" sheetId="6" r:id="rId1"/>
    <sheet name="Sheet1" sheetId="2" r:id="rId2"/>
    <sheet name="Sheet7" sheetId="8" r:id="rId3"/>
    <sheet name="breeding dates" sheetId="1" r:id="rId4"/>
  </sheets>
  <definedNames>
    <definedName name="_xlnm._FilterDatabase" localSheetId="3" hidden="1">'breeding dates'!$A$1:$R$195</definedName>
  </definedNames>
  <calcPr calcId="0"/>
  <pivotCaches>
    <pivotCache cacheId="37" r:id="rId5"/>
  </pivotCaches>
</workbook>
</file>

<file path=xl/calcChain.xml><?xml version="1.0" encoding="utf-8"?>
<calcChain xmlns="http://schemas.openxmlformats.org/spreadsheetml/2006/main">
  <c r="B22" i="6" l="1"/>
  <c r="C22" i="6"/>
  <c r="D22" i="6"/>
  <c r="E22" i="6"/>
  <c r="B23" i="6"/>
  <c r="C23" i="6"/>
  <c r="D23" i="6"/>
  <c r="E23" i="6"/>
  <c r="B24" i="6"/>
  <c r="C24" i="6"/>
  <c r="D24" i="6"/>
  <c r="E24" i="6"/>
  <c r="B25" i="6"/>
  <c r="C25" i="6"/>
  <c r="D25" i="6"/>
  <c r="E25" i="6"/>
  <c r="B26" i="6"/>
  <c r="C26" i="6"/>
  <c r="D26" i="6"/>
  <c r="E26" i="6"/>
  <c r="B27" i="6"/>
  <c r="C27" i="6"/>
  <c r="D27" i="6"/>
  <c r="E27" i="6"/>
  <c r="B28" i="6"/>
  <c r="C28" i="6"/>
  <c r="D28" i="6"/>
  <c r="E28" i="6"/>
  <c r="B29" i="6"/>
  <c r="C29" i="6"/>
  <c r="D29" i="6"/>
  <c r="E29" i="6"/>
  <c r="B30" i="6"/>
  <c r="C30" i="6"/>
  <c r="D30" i="6"/>
  <c r="E30" i="6"/>
  <c r="B31" i="6"/>
  <c r="C31" i="6"/>
  <c r="D31" i="6"/>
  <c r="E31" i="6"/>
  <c r="B32" i="6"/>
  <c r="C32" i="6"/>
  <c r="D32" i="6"/>
  <c r="E32" i="6"/>
  <c r="B33" i="6"/>
  <c r="C33" i="6"/>
  <c r="D33" i="6"/>
  <c r="E33" i="6"/>
  <c r="B34" i="6"/>
  <c r="C34" i="6"/>
  <c r="D34" i="6"/>
  <c r="E34" i="6"/>
  <c r="B35" i="6"/>
  <c r="C35" i="6"/>
  <c r="D35" i="6"/>
  <c r="E35" i="6"/>
  <c r="B36" i="6"/>
  <c r="C36" i="6"/>
  <c r="D36" i="6"/>
  <c r="E36" i="6"/>
  <c r="B37" i="6"/>
  <c r="C37" i="6"/>
  <c r="D37" i="6"/>
  <c r="E37" i="6"/>
  <c r="B38" i="6"/>
  <c r="C38" i="6"/>
  <c r="D38" i="6"/>
  <c r="E38" i="6"/>
  <c r="B39" i="6"/>
  <c r="C39" i="6"/>
  <c r="D39" i="6"/>
  <c r="E39" i="6"/>
  <c r="B40" i="6"/>
  <c r="C40" i="6"/>
  <c r="D40" i="6"/>
  <c r="E40" i="6"/>
  <c r="B41" i="6"/>
  <c r="C41" i="6"/>
  <c r="D41" i="6"/>
  <c r="E41" i="6"/>
  <c r="B42" i="6"/>
  <c r="C42" i="6"/>
  <c r="D42" i="6"/>
  <c r="E42" i="6"/>
  <c r="B43" i="6"/>
  <c r="C43" i="6"/>
  <c r="D43" i="6"/>
  <c r="E43" i="6"/>
  <c r="B44" i="6"/>
  <c r="C44" i="6"/>
  <c r="D44" i="6"/>
  <c r="E44" i="6"/>
  <c r="B45" i="6"/>
  <c r="C45" i="6"/>
  <c r="D45" i="6"/>
  <c r="E45" i="6"/>
  <c r="B46" i="6"/>
  <c r="C46" i="6"/>
  <c r="D46" i="6"/>
  <c r="E46" i="6"/>
  <c r="B47" i="6"/>
  <c r="C47" i="6"/>
  <c r="D47" i="6"/>
  <c r="E47" i="6"/>
  <c r="B48" i="6"/>
  <c r="C48" i="6"/>
  <c r="D48" i="6"/>
  <c r="E48" i="6"/>
  <c r="B49" i="6"/>
  <c r="C49" i="6"/>
  <c r="D49" i="6"/>
  <c r="E49" i="6"/>
  <c r="B50" i="6"/>
  <c r="C50" i="6"/>
  <c r="D50" i="6"/>
  <c r="E50" i="6"/>
  <c r="B51" i="6"/>
  <c r="C51" i="6"/>
  <c r="D51" i="6"/>
  <c r="E51" i="6"/>
  <c r="B52" i="6"/>
  <c r="C52" i="6"/>
  <c r="D52" i="6"/>
  <c r="E52" i="6"/>
  <c r="B53" i="6"/>
  <c r="C53" i="6"/>
  <c r="D53" i="6"/>
  <c r="E53" i="6"/>
  <c r="B54" i="6"/>
  <c r="C54" i="6"/>
  <c r="D54" i="6"/>
  <c r="E54" i="6"/>
  <c r="B55" i="6"/>
  <c r="C55" i="6"/>
  <c r="D55" i="6"/>
  <c r="E55" i="6"/>
  <c r="B56" i="6"/>
  <c r="C56" i="6"/>
  <c r="D56" i="6"/>
  <c r="E56" i="6"/>
  <c r="B57" i="6"/>
  <c r="C57" i="6"/>
  <c r="D57" i="6"/>
  <c r="E57" i="6"/>
  <c r="B58" i="6"/>
  <c r="C58" i="6"/>
  <c r="D58" i="6"/>
  <c r="E58" i="6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2" i="1"/>
  <c r="B2" i="6"/>
  <c r="C2" i="6"/>
  <c r="D2" i="6" s="1"/>
  <c r="E2" i="6"/>
  <c r="B3" i="6"/>
  <c r="C3" i="6"/>
  <c r="D3" i="6" s="1"/>
  <c r="E3" i="6"/>
  <c r="E21" i="6"/>
  <c r="C21" i="6"/>
  <c r="D21" i="6" s="1"/>
  <c r="B21" i="6"/>
  <c r="E20" i="6"/>
  <c r="C20" i="6"/>
  <c r="D20" i="6" s="1"/>
  <c r="B20" i="6"/>
  <c r="E19" i="6"/>
  <c r="C19" i="6"/>
  <c r="D19" i="6" s="1"/>
  <c r="B19" i="6"/>
  <c r="E18" i="6"/>
  <c r="C18" i="6"/>
  <c r="D18" i="6" s="1"/>
  <c r="B18" i="6"/>
  <c r="E17" i="6"/>
  <c r="C17" i="6"/>
  <c r="D17" i="6" s="1"/>
  <c r="B17" i="6"/>
  <c r="E16" i="6"/>
  <c r="C16" i="6"/>
  <c r="D16" i="6" s="1"/>
  <c r="B16" i="6"/>
  <c r="E15" i="6"/>
  <c r="C15" i="6"/>
  <c r="D15" i="6" s="1"/>
  <c r="B15" i="6"/>
  <c r="E14" i="6"/>
  <c r="C14" i="6"/>
  <c r="D14" i="6" s="1"/>
  <c r="B14" i="6"/>
  <c r="E13" i="6"/>
  <c r="C13" i="6"/>
  <c r="D13" i="6" s="1"/>
  <c r="B13" i="6"/>
  <c r="E12" i="6"/>
  <c r="C12" i="6"/>
  <c r="D12" i="6" s="1"/>
  <c r="B12" i="6"/>
  <c r="E11" i="6"/>
  <c r="C11" i="6"/>
  <c r="D11" i="6" s="1"/>
  <c r="B11" i="6"/>
  <c r="E10" i="6"/>
  <c r="C10" i="6"/>
  <c r="D10" i="6" s="1"/>
  <c r="B10" i="6"/>
  <c r="E9" i="6"/>
  <c r="C9" i="6"/>
  <c r="D9" i="6" s="1"/>
  <c r="B9" i="6"/>
  <c r="E8" i="6"/>
  <c r="C8" i="6"/>
  <c r="D8" i="6" s="1"/>
  <c r="B8" i="6"/>
  <c r="E7" i="6"/>
  <c r="C7" i="6"/>
  <c r="D7" i="6" s="1"/>
  <c r="B7" i="6"/>
  <c r="E6" i="6"/>
  <c r="C6" i="6"/>
  <c r="D6" i="6" s="1"/>
  <c r="B6" i="6"/>
  <c r="E5" i="6"/>
  <c r="C5" i="6"/>
  <c r="D5" i="6" s="1"/>
  <c r="B5" i="6"/>
  <c r="E4" i="6"/>
  <c r="C4" i="6"/>
  <c r="D4" i="6" s="1"/>
  <c r="B4" i="6"/>
  <c r="J2" i="6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H11" i="2"/>
  <c r="H12" i="2"/>
  <c r="H13" i="2"/>
  <c r="H14" i="2"/>
  <c r="H15" i="2"/>
  <c r="H10" i="2"/>
  <c r="X3" i="2"/>
  <c r="X4" i="2"/>
  <c r="X5" i="2"/>
  <c r="X6" i="2"/>
  <c r="X7" i="2"/>
  <c r="X8" i="2"/>
  <c r="J2" i="2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D46" i="2"/>
  <c r="D95" i="2"/>
  <c r="D2" i="2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 s="1"/>
  <c r="C75" i="2"/>
  <c r="D75" i="2" s="1"/>
  <c r="C76" i="2"/>
  <c r="D76" i="2" s="1"/>
  <c r="C77" i="2"/>
  <c r="D77" i="2" s="1"/>
  <c r="C78" i="2"/>
  <c r="D78" i="2" s="1"/>
  <c r="C79" i="2"/>
  <c r="D79" i="2" s="1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D87" i="2" s="1"/>
  <c r="C88" i="2"/>
  <c r="D88" i="2" s="1"/>
  <c r="C89" i="2"/>
  <c r="D89" i="2" s="1"/>
  <c r="C90" i="2"/>
  <c r="D90" i="2" s="1"/>
  <c r="C91" i="2"/>
  <c r="D91" i="2" s="1"/>
  <c r="C92" i="2"/>
  <c r="D92" i="2" s="1"/>
  <c r="C93" i="2"/>
  <c r="D93" i="2" s="1"/>
  <c r="C94" i="2"/>
  <c r="D94" i="2" s="1"/>
  <c r="C95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2" i="2"/>
  <c r="G3" i="6" l="1" a="1"/>
  <c r="T6" i="6" s="1"/>
  <c r="G3" i="2" a="1"/>
  <c r="X12" i="6" l="1"/>
  <c r="S7" i="6"/>
  <c r="W6" i="6"/>
  <c r="N15" i="6"/>
  <c r="J5" i="6"/>
  <c r="Q6" i="6"/>
  <c r="L7" i="6"/>
  <c r="K4" i="6"/>
  <c r="L11" i="6"/>
  <c r="R8" i="6"/>
  <c r="M15" i="6"/>
  <c r="M7" i="6"/>
  <c r="T14" i="6"/>
  <c r="J7" i="6"/>
  <c r="P8" i="6"/>
  <c r="O5" i="6"/>
  <c r="R13" i="6"/>
  <c r="R11" i="6"/>
  <c r="H4" i="6"/>
  <c r="M13" i="6"/>
  <c r="K12" i="6"/>
  <c r="K8" i="6"/>
  <c r="I6" i="6"/>
  <c r="P6" i="6"/>
  <c r="X14" i="6"/>
  <c r="S5" i="6"/>
  <c r="W5" i="6"/>
  <c r="O15" i="6"/>
  <c r="Q8" i="6"/>
  <c r="P5" i="6"/>
  <c r="S8" i="6"/>
  <c r="W4" i="6"/>
  <c r="T4" i="6"/>
  <c r="U11" i="6"/>
  <c r="N5" i="6"/>
  <c r="N6" i="6"/>
  <c r="V12" i="6"/>
  <c r="H7" i="6"/>
  <c r="V7" i="6"/>
  <c r="J11" i="6"/>
  <c r="N11" i="6"/>
  <c r="M8" i="6"/>
  <c r="S14" i="6"/>
  <c r="U14" i="6"/>
  <c r="V13" i="6"/>
  <c r="T12" i="6"/>
  <c r="I12" i="6"/>
  <c r="T8" i="6"/>
  <c r="P14" i="6"/>
  <c r="W12" i="6"/>
  <c r="G3" i="6"/>
  <c r="M10" i="6" s="1"/>
  <c r="L14" i="6"/>
  <c r="P4" i="6"/>
  <c r="R14" i="6"/>
  <c r="J4" i="6"/>
  <c r="U6" i="6"/>
  <c r="K5" i="6"/>
  <c r="M4" i="6"/>
  <c r="J6" i="6"/>
  <c r="Q7" i="6"/>
  <c r="N8" i="6"/>
  <c r="S11" i="6"/>
  <c r="R6" i="6"/>
  <c r="P11" i="6"/>
  <c r="J12" i="6"/>
  <c r="L4" i="6"/>
  <c r="Q11" i="6"/>
  <c r="T11" i="6"/>
  <c r="P13" i="6"/>
  <c r="V11" i="6"/>
  <c r="H12" i="6"/>
  <c r="L5" i="6"/>
  <c r="L8" i="6"/>
  <c r="X15" i="6"/>
  <c r="K13" i="6"/>
  <c r="U12" i="6"/>
  <c r="S15" i="6"/>
  <c r="N13" i="6"/>
  <c r="W14" i="6"/>
  <c r="R15" i="6"/>
  <c r="I15" i="6"/>
  <c r="J8" i="6"/>
  <c r="N7" i="6"/>
  <c r="S13" i="6"/>
  <c r="W7" i="6"/>
  <c r="M6" i="6"/>
  <c r="O6" i="6"/>
  <c r="J14" i="6"/>
  <c r="X7" i="6"/>
  <c r="W11" i="6"/>
  <c r="S6" i="6"/>
  <c r="O8" i="6"/>
  <c r="U7" i="6"/>
  <c r="S12" i="6"/>
  <c r="Q14" i="6"/>
  <c r="X6" i="6"/>
  <c r="L12" i="6"/>
  <c r="H14" i="6"/>
  <c r="L6" i="6"/>
  <c r="P12" i="6"/>
  <c r="K7" i="6"/>
  <c r="I14" i="6"/>
  <c r="V8" i="6"/>
  <c r="O7" i="6"/>
  <c r="X4" i="6"/>
  <c r="U15" i="6"/>
  <c r="V6" i="6"/>
  <c r="H8" i="6"/>
  <c r="X11" i="6"/>
  <c r="H11" i="6"/>
  <c r="M12" i="6"/>
  <c r="O12" i="6"/>
  <c r="O13" i="6"/>
  <c r="L15" i="6"/>
  <c r="X8" i="6"/>
  <c r="J13" i="6"/>
  <c r="T7" i="6"/>
  <c r="J15" i="6"/>
  <c r="I7" i="6"/>
  <c r="W8" i="6"/>
  <c r="U4" i="6"/>
  <c r="K14" i="6"/>
  <c r="O11" i="6"/>
  <c r="V15" i="6"/>
  <c r="M14" i="6"/>
  <c r="Q4" i="6"/>
  <c r="S4" i="6"/>
  <c r="U8" i="6"/>
  <c r="M11" i="6"/>
  <c r="Q13" i="6"/>
  <c r="X5" i="6"/>
  <c r="Q12" i="6"/>
  <c r="R12" i="6"/>
  <c r="I4" i="6"/>
  <c r="N4" i="6"/>
  <c r="P15" i="6"/>
  <c r="W13" i="6"/>
  <c r="L13" i="6"/>
  <c r="H5" i="6"/>
  <c r="R4" i="6"/>
  <c r="V5" i="6"/>
  <c r="N12" i="6"/>
  <c r="V14" i="6"/>
  <c r="W15" i="6"/>
  <c r="I8" i="6"/>
  <c r="H13" i="6"/>
  <c r="I13" i="6"/>
  <c r="R7" i="6"/>
  <c r="Q5" i="6"/>
  <c r="O4" i="6"/>
  <c r="N14" i="6"/>
  <c r="X13" i="6"/>
  <c r="T5" i="6"/>
  <c r="I5" i="6"/>
  <c r="H15" i="6"/>
  <c r="P7" i="6"/>
  <c r="K15" i="6"/>
  <c r="I11" i="6"/>
  <c r="M5" i="6"/>
  <c r="K11" i="6"/>
  <c r="T13" i="6"/>
  <c r="U13" i="6"/>
  <c r="V4" i="6"/>
  <c r="H6" i="6"/>
  <c r="R5" i="6"/>
  <c r="Q15" i="6"/>
  <c r="O14" i="6"/>
  <c r="K6" i="6"/>
  <c r="U5" i="6"/>
  <c r="T15" i="6"/>
  <c r="Q10" i="6"/>
  <c r="T3" i="6"/>
  <c r="T10" i="6"/>
  <c r="H3" i="6"/>
  <c r="I10" i="6"/>
  <c r="G3" i="2"/>
  <c r="R4" i="2"/>
  <c r="O5" i="2"/>
  <c r="L6" i="2"/>
  <c r="I7" i="2"/>
  <c r="U7" i="2"/>
  <c r="R8" i="2"/>
  <c r="S4" i="2"/>
  <c r="P5" i="2"/>
  <c r="M6" i="2"/>
  <c r="J7" i="2"/>
  <c r="V7" i="2"/>
  <c r="S8" i="2"/>
  <c r="T4" i="2"/>
  <c r="Q5" i="2"/>
  <c r="N6" i="2"/>
  <c r="K7" i="2"/>
  <c r="W7" i="2"/>
  <c r="T8" i="2"/>
  <c r="I4" i="2"/>
  <c r="U4" i="2"/>
  <c r="R5" i="2"/>
  <c r="O6" i="2"/>
  <c r="L7" i="2"/>
  <c r="I8" i="2"/>
  <c r="U8" i="2"/>
  <c r="J4" i="2"/>
  <c r="V4" i="2"/>
  <c r="S5" i="2"/>
  <c r="P6" i="2"/>
  <c r="M7" i="2"/>
  <c r="J8" i="2"/>
  <c r="V8" i="2"/>
  <c r="K4" i="2"/>
  <c r="W4" i="2"/>
  <c r="T5" i="2"/>
  <c r="Q6" i="2"/>
  <c r="N7" i="2"/>
  <c r="K8" i="2"/>
  <c r="W8" i="2"/>
  <c r="L4" i="2"/>
  <c r="I5" i="2"/>
  <c r="U5" i="2"/>
  <c r="R6" i="2"/>
  <c r="O7" i="2"/>
  <c r="L8" i="2"/>
  <c r="H4" i="2"/>
  <c r="M4" i="2"/>
  <c r="J5" i="2"/>
  <c r="V5" i="2"/>
  <c r="S6" i="2"/>
  <c r="P7" i="2"/>
  <c r="M8" i="2"/>
  <c r="H5" i="2"/>
  <c r="N4" i="2"/>
  <c r="K5" i="2"/>
  <c r="W5" i="2"/>
  <c r="T6" i="2"/>
  <c r="Q7" i="2"/>
  <c r="N8" i="2"/>
  <c r="H6" i="2"/>
  <c r="O4" i="2"/>
  <c r="L5" i="2"/>
  <c r="I6" i="2"/>
  <c r="U6" i="2"/>
  <c r="R7" i="2"/>
  <c r="O8" i="2"/>
  <c r="H7" i="2"/>
  <c r="P8" i="2"/>
  <c r="T7" i="2"/>
  <c r="Q8" i="2"/>
  <c r="P4" i="2"/>
  <c r="H8" i="2"/>
  <c r="Q4" i="2"/>
  <c r="M5" i="2"/>
  <c r="N5" i="2"/>
  <c r="J6" i="2"/>
  <c r="K6" i="2"/>
  <c r="V6" i="2"/>
  <c r="W6" i="2"/>
  <c r="S7" i="2"/>
  <c r="X10" i="6" l="1"/>
  <c r="S3" i="6"/>
  <c r="K3" i="6"/>
  <c r="X3" i="6"/>
  <c r="L3" i="6"/>
  <c r="R10" i="6"/>
  <c r="N10" i="6"/>
  <c r="R3" i="6"/>
  <c r="M3" i="6"/>
  <c r="V10" i="6"/>
  <c r="O10" i="6"/>
  <c r="S10" i="6"/>
  <c r="J10" i="6"/>
  <c r="P3" i="6"/>
  <c r="I3" i="6"/>
  <c r="L10" i="6"/>
  <c r="K10" i="6"/>
  <c r="P10" i="6"/>
  <c r="J3" i="6"/>
  <c r="O3" i="6"/>
  <c r="H10" i="6"/>
  <c r="V3" i="6"/>
  <c r="N3" i="6"/>
  <c r="Q3" i="6"/>
  <c r="U10" i="6"/>
  <c r="U3" i="6"/>
  <c r="W3" i="6"/>
  <c r="W10" i="6"/>
  <c r="I3" i="2"/>
  <c r="U3" i="2"/>
  <c r="J3" i="2"/>
  <c r="V3" i="2"/>
  <c r="K3" i="2"/>
  <c r="W3" i="2"/>
  <c r="L3" i="2"/>
  <c r="M3" i="2"/>
  <c r="N3" i="2"/>
  <c r="O3" i="2"/>
  <c r="P3" i="2"/>
  <c r="Q3" i="2"/>
  <c r="R3" i="2"/>
  <c r="S3" i="2"/>
  <c r="T3" i="2"/>
  <c r="H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<sst xmlns="http://schemas.openxmlformats.org/spreadsheetml/2006/main" count="1992" uniqueCount="469">
  <si>
    <t>Site ID</t>
  </si>
  <si>
    <t>Group</t>
  </si>
  <si>
    <t>Name</t>
  </si>
  <si>
    <t>Pretty Name</t>
  </si>
  <si>
    <t>Deployment Start</t>
  </si>
  <si>
    <t>Deployment End</t>
  </si>
  <si>
    <t>Breeding Type</t>
  </si>
  <si>
    <t>Complex Types</t>
  </si>
  <si>
    <t>Pulse Name</t>
  </si>
  <si>
    <t>Outcome</t>
  </si>
  <si>
    <t>mcstart</t>
  </si>
  <si>
    <t>incstart</t>
  </si>
  <si>
    <t>hatch</t>
  </si>
  <si>
    <t>fledgestart</t>
  </si>
  <si>
    <t>fledgedisp</t>
  </si>
  <si>
    <t>abandon</t>
  </si>
  <si>
    <t>partial abandon</t>
  </si>
  <si>
    <t>Solano County</t>
  </si>
  <si>
    <t>2017 Rush Ranch</t>
  </si>
  <si>
    <t>Complex</t>
  </si>
  <si>
    <t>Multiple, Retry</t>
  </si>
  <si>
    <t>2017 Rush Ranch p1</t>
  </si>
  <si>
    <t>Abandoned</t>
  </si>
  <si>
    <t>ND</t>
  </si>
  <si>
    <t>2017 Rush Ranch p2</t>
  </si>
  <si>
    <t>Successful</t>
  </si>
  <si>
    <t>2017 Rush Ranch p3</t>
  </si>
  <si>
    <t>2018 Rush Ranch</t>
  </si>
  <si>
    <t>Simple</t>
  </si>
  <si>
    <t>2018 Rush Ranch p1</t>
  </si>
  <si>
    <t>2020 Creed Road</t>
  </si>
  <si>
    <t>2020 Denverton Creek</t>
  </si>
  <si>
    <t>No Colony</t>
  </si>
  <si>
    <t>2020 Denverton Creek p1</t>
  </si>
  <si>
    <t>2020 Rush Ranch</t>
  </si>
  <si>
    <t>2020 Rush Ranch p1</t>
  </si>
  <si>
    <t>Iron Point</t>
  </si>
  <si>
    <t>2018 Iron Point</t>
  </si>
  <si>
    <t>2018 Iron Point p1</t>
  </si>
  <si>
    <t>pre</t>
  </si>
  <si>
    <t>Placer County</t>
  </si>
  <si>
    <t>2018 Red Wing Ranch</t>
  </si>
  <si>
    <t>Unknown</t>
  </si>
  <si>
    <t>2018 Red Wing Ranch p1</t>
  </si>
  <si>
    <t>Markham Ravine</t>
  </si>
  <si>
    <t>2018 Markham Ravine Main</t>
  </si>
  <si>
    <t>2018 Markham Ravine</t>
  </si>
  <si>
    <t>2018 Markham Ravine p1</t>
  </si>
  <si>
    <t>2018 Markham Ravine westside</t>
  </si>
  <si>
    <t>2018 Markham Ravine - West</t>
  </si>
  <si>
    <t>2018 Markham Ravine - West p1</t>
  </si>
  <si>
    <t>post</t>
  </si>
  <si>
    <t>San Jacinto Wildlife Area</t>
  </si>
  <si>
    <t>2018 SJWA-rose-2</t>
  </si>
  <si>
    <t>2018 San Jacinto Wildlife Area Bridge St. Pond</t>
  </si>
  <si>
    <t>2018 San Jacinto Wildlife Area Bridge St. Pond p1</t>
  </si>
  <si>
    <t>2019 Creed Road</t>
  </si>
  <si>
    <t>2019 Denverton Creek</t>
  </si>
  <si>
    <t>Multiple</t>
  </si>
  <si>
    <t>2019 Denverton Creek p1</t>
  </si>
  <si>
    <t>2019 Denverton Creek p2</t>
  </si>
  <si>
    <t>2019 Hay Landfill</t>
  </si>
  <si>
    <t>2019 Hay Landfill p1</t>
  </si>
  <si>
    <t>2019 Hay Landfill p2</t>
  </si>
  <si>
    <t>Partially Abandoned</t>
  </si>
  <si>
    <t>2019 Leisure Town</t>
  </si>
  <si>
    <t>2019 Leisure Town Road</t>
  </si>
  <si>
    <t>2019 Leisure Town Road p1</t>
  </si>
  <si>
    <t>2019 Leisure Town Road p2</t>
  </si>
  <si>
    <t>2019 Iron Point</t>
  </si>
  <si>
    <t>Asynchronous</t>
  </si>
  <si>
    <t>2019 Iron Point p1</t>
  </si>
  <si>
    <t>2019 Markham Ravine</t>
  </si>
  <si>
    <t>2019 Markham Ravine p1</t>
  </si>
  <si>
    <t>2019 Rush Ranch</t>
  </si>
  <si>
    <t>2019 Rush Ranch p1</t>
  </si>
  <si>
    <t>2019 Markham Ravine 2</t>
  </si>
  <si>
    <t>2019 Markham Ravine 2 p1</t>
  </si>
  <si>
    <t>Colusa NWR</t>
  </si>
  <si>
    <t>2019 Colusa NWR 27-1</t>
  </si>
  <si>
    <t>2019 Colusa NWR T27.1</t>
  </si>
  <si>
    <t>2019 Colusa NWR T27.1 p1</t>
  </si>
  <si>
    <t>2019 Colusa NWR 27-2</t>
  </si>
  <si>
    <t>2019 Colusa NWR T27.2</t>
  </si>
  <si>
    <t>2019 Colusa NWR T27.2 p1</t>
  </si>
  <si>
    <t>2020 Hay Landfill</t>
  </si>
  <si>
    <t>Additions, Multiple</t>
  </si>
  <si>
    <t>2020 Hay Landfill p1</t>
  </si>
  <si>
    <t>2020 Hay Landfill p2</t>
  </si>
  <si>
    <t>2020 Markham Ravine</t>
  </si>
  <si>
    <t>2020 Markham Ravine p1</t>
  </si>
  <si>
    <t>2020 Iron Point</t>
  </si>
  <si>
    <t>2020 Iron Point p1</t>
  </si>
  <si>
    <t>Bob's Sites</t>
  </si>
  <si>
    <t>2020 Conaway Ranch</t>
  </si>
  <si>
    <t>2020 Conaway Ranch p1</t>
  </si>
  <si>
    <t>Sedgwick</t>
  </si>
  <si>
    <t>2021 Sedgwick</t>
  </si>
  <si>
    <t>2021 Sedgwick p1</t>
  </si>
  <si>
    <t>2021 Hay Landfill</t>
  </si>
  <si>
    <t>2021 Hay Landfill p1</t>
  </si>
  <si>
    <t>Monterey</t>
  </si>
  <si>
    <t>2020 Ohlone - Santa Lucia Preserve</t>
  </si>
  <si>
    <t>2020 Ohlone</t>
  </si>
  <si>
    <t>2020 Ohlone p1</t>
  </si>
  <si>
    <t>2021 Plumas Arboga</t>
  </si>
  <si>
    <t>2021 Plumas Arboga p1</t>
  </si>
  <si>
    <t>2021 Foley Ranch</t>
  </si>
  <si>
    <t>2021 Foley Ranch p1</t>
  </si>
  <si>
    <t>2021 Foley Ranch p2</t>
  </si>
  <si>
    <t>2021 Creed Road</t>
  </si>
  <si>
    <t>2021 Denverton Creek</t>
  </si>
  <si>
    <t>2021 Denverton Creek p1</t>
  </si>
  <si>
    <t>2021 Hale Road 2</t>
  </si>
  <si>
    <t>2021 Hale Road 2 p1</t>
  </si>
  <si>
    <t>Rancho Jamul</t>
  </si>
  <si>
    <t>2021 Rancho Jamul</t>
  </si>
  <si>
    <t>2021 Rancho Jamul p1</t>
  </si>
  <si>
    <t>CNLM</t>
  </si>
  <si>
    <t>2021 Dagnino Pond</t>
  </si>
  <si>
    <t>2021 Dagnino Pond p1</t>
  </si>
  <si>
    <t>2021 Colusa NWR 27-1</t>
  </si>
  <si>
    <t>2021 Colusa NWR T27.1</t>
  </si>
  <si>
    <t>2021 Colusa NWR T27.1 p1</t>
  </si>
  <si>
    <t>2021 Colusa NWR 27-2</t>
  </si>
  <si>
    <t>2021 Colusa NWR T27.2</t>
  </si>
  <si>
    <t>2021 Colusa NWR T27.2 p1</t>
  </si>
  <si>
    <t>2021 Rodeo Grounds 1</t>
  </si>
  <si>
    <t>2021 Rodeo Grounds</t>
  </si>
  <si>
    <t>2021 Rodeo Grounds p1</t>
  </si>
  <si>
    <t>2021 Panoche Creek Preserve 2E</t>
  </si>
  <si>
    <t>2021 Panoche Creek Preserve 2 East</t>
  </si>
  <si>
    <t>2021 Panoche Creek Preserve 2 East p1</t>
  </si>
  <si>
    <t>2021 Panoche Creek Preserve 1W</t>
  </si>
  <si>
    <t>2021 Panoche Creek Preserve 1 West</t>
  </si>
  <si>
    <t>2021 Panoche Creek Preserve 1 West p1</t>
  </si>
  <si>
    <t>2021 Orchard Creek</t>
  </si>
  <si>
    <t>Additions</t>
  </si>
  <si>
    <t>2021 Orchard Creek p1</t>
  </si>
  <si>
    <t>2021 Orchard Creek p2</t>
  </si>
  <si>
    <t>2021 Willey Wetlands 3</t>
  </si>
  <si>
    <t>2021 Willey Wetlands 3 p1</t>
  </si>
  <si>
    <t>Southern Sierra Research Station</t>
  </si>
  <si>
    <t>2021 Kern 2</t>
  </si>
  <si>
    <t>2021 Kern 2 p1</t>
  </si>
  <si>
    <t>2021 Rush Ranch</t>
  </si>
  <si>
    <t>2021 Rush Ranch p1</t>
  </si>
  <si>
    <t>2021 Kern 1</t>
  </si>
  <si>
    <t>2021 Kern 1 p1</t>
  </si>
  <si>
    <t>2021 Kern 3</t>
  </si>
  <si>
    <t>2021 Kern 3 p1</t>
  </si>
  <si>
    <t>2021 Conaway South</t>
  </si>
  <si>
    <t>2021 Conaway South p1</t>
  </si>
  <si>
    <t>2021 Reeds Creek South</t>
  </si>
  <si>
    <t>2021 Reeds Creek South p1</t>
  </si>
  <si>
    <t>2021 Kern 4</t>
  </si>
  <si>
    <t>2021 Kern 4 p1</t>
  </si>
  <si>
    <t>2021 Iron Point</t>
  </si>
  <si>
    <t>2021 Iron Point p1</t>
  </si>
  <si>
    <t>Wind Wolves Preserve</t>
  </si>
  <si>
    <t>2021 Wind Wolves Preserve</t>
  </si>
  <si>
    <t>2021 Wind Wolves Preserve p1</t>
  </si>
  <si>
    <t>2021 SJWA</t>
  </si>
  <si>
    <t>2021 San Jacinto Wildlife Area</t>
  </si>
  <si>
    <t>2021 San Jacinto Wildlife Area p1</t>
  </si>
  <si>
    <t>2021 Markham Ravine</t>
  </si>
  <si>
    <t>No Birds</t>
  </si>
  <si>
    <t>2021 Markham Ravine p1</t>
  </si>
  <si>
    <t>2021 Kern 5</t>
  </si>
  <si>
    <t>Asynchronous, Multiple</t>
  </si>
  <si>
    <t>2021 Kern 5 p1</t>
  </si>
  <si>
    <t>2021 Kern 5 p2</t>
  </si>
  <si>
    <t>2021 Kern 6</t>
  </si>
  <si>
    <t>2021 Kern 6 p1</t>
  </si>
  <si>
    <t>2021 Kern 7</t>
  </si>
  <si>
    <t>2021 Kern 7 p1</t>
  </si>
  <si>
    <t>Washington</t>
  </si>
  <si>
    <t>2022 WA1</t>
  </si>
  <si>
    <t>2022 Washington State - McCain Wetands</t>
  </si>
  <si>
    <t>2022 Washington State - McCain Wetands p1</t>
  </si>
  <si>
    <t>Oregon</t>
  </si>
  <si>
    <t>2022 OR1</t>
  </si>
  <si>
    <t>2022 Oregon 1</t>
  </si>
  <si>
    <t>2022 Oregon 1 p1</t>
  </si>
  <si>
    <t>2022 Hay Landfill</t>
  </si>
  <si>
    <t>2022 Hay Landfill p1</t>
  </si>
  <si>
    <t>2022 Hay Landfill p2</t>
  </si>
  <si>
    <t>2022 WA Harder Spring</t>
  </si>
  <si>
    <t>2022 Washington State - Harder Spring</t>
  </si>
  <si>
    <t>2022 Washington State - Harder Spring p1</t>
  </si>
  <si>
    <t>2022 Washington State - Harder Spring p2</t>
  </si>
  <si>
    <t>2022 Sedgwick</t>
  </si>
  <si>
    <t>2022 Sedgwick p1</t>
  </si>
  <si>
    <t>2022 Sedgwick p2</t>
  </si>
  <si>
    <t>2022 Plumas Arboga East</t>
  </si>
  <si>
    <t>2022 Plumas Arboga East p1</t>
  </si>
  <si>
    <t>2022 Plumas Arboga East p2</t>
  </si>
  <si>
    <t>6/62022</t>
  </si>
  <si>
    <t>2022 Colusa NWR T27.1</t>
  </si>
  <si>
    <t>2022 Colusa NWR T27.1 p1</t>
  </si>
  <si>
    <t>2022 Rancho Jamul</t>
  </si>
  <si>
    <t>2022 Rancho Jamul p1</t>
  </si>
  <si>
    <t>2022 SJWA</t>
  </si>
  <si>
    <t>2022 San Jacinto Wildlife Area</t>
  </si>
  <si>
    <t>2022 San Jacinto Wildlife Area p1</t>
  </si>
  <si>
    <t>2022 Paicines Ranch - Teal Pond</t>
  </si>
  <si>
    <t>2022 Paicines Ranch - Teal Pond p1</t>
  </si>
  <si>
    <t>2022 OR2</t>
  </si>
  <si>
    <t>2022 Oregon 2</t>
  </si>
  <si>
    <t>2022 Oregon 2 p1</t>
  </si>
  <si>
    <t>San Bernardino</t>
  </si>
  <si>
    <t>2022 Newberry Springs - Lake Wainani</t>
  </si>
  <si>
    <t>2022 Newberry Springs - Lake Wainani p1</t>
  </si>
  <si>
    <t>Los Vaqueros</t>
  </si>
  <si>
    <t>2022 Marsh Creek Reservoir</t>
  </si>
  <si>
    <t>2022 Marsh Creek Reservoir p1</t>
  </si>
  <si>
    <t>2022 Laguna Seca</t>
  </si>
  <si>
    <t>2022 Laguna Seca p1</t>
  </si>
  <si>
    <t>2022 Laguna Seca p2</t>
  </si>
  <si>
    <t>2022 Creed Road</t>
  </si>
  <si>
    <t>2022 Denverton Creek</t>
  </si>
  <si>
    <t>2022 Denverton Creek p1</t>
  </si>
  <si>
    <t>2022 Colusa NWR T27.2</t>
  </si>
  <si>
    <t>2022 Colusa NWR T27.2 p1</t>
  </si>
  <si>
    <t>2022 Wind Wolves Preserve Santiago Wetlands</t>
  </si>
  <si>
    <t>2022 Wind Wolves Preserve Santiago Wetlands p1</t>
  </si>
  <si>
    <t>2022 Wind Wolves Preserve Pleitito Creek</t>
  </si>
  <si>
    <t>2022 Wind Wolves Preserve Pleitito Creek p1</t>
  </si>
  <si>
    <t>2022 Ohlone - Santa Lucia Preserve</t>
  </si>
  <si>
    <t>2022 Ohlone</t>
  </si>
  <si>
    <t>2022 Ohlone p1</t>
  </si>
  <si>
    <t>2022 Conaway New Easement Pond West</t>
  </si>
  <si>
    <t>2022 Conaway New Easement Pond West p1</t>
  </si>
  <si>
    <t>2022 Conaway North</t>
  </si>
  <si>
    <t>2022 Conaway North p1</t>
  </si>
  <si>
    <t>2022 Conaway East</t>
  </si>
  <si>
    <t>2022 Conaway East p1</t>
  </si>
  <si>
    <t>2022 Los Vaqueros Reservoir</t>
  </si>
  <si>
    <t>2022 Los Vaqueros Reservoir p1</t>
  </si>
  <si>
    <t>2022 Foley Ranch A</t>
  </si>
  <si>
    <t>2022 Foley Ranch A p1</t>
  </si>
  <si>
    <t>2022 Panoche Creek Preserve Loc5</t>
  </si>
  <si>
    <t>2022 Panoche Creek Preserve Location 5</t>
  </si>
  <si>
    <t>2022 Panoche Creek Preserve Location 5 p1</t>
  </si>
  <si>
    <t>Dairies</t>
  </si>
  <si>
    <t>2022 Private Site 1 - not real lat lon</t>
  </si>
  <si>
    <t>2022 Private Site 1 - approximate lat lon</t>
  </si>
  <si>
    <t>2022 Private Site 1 - approximate lat lon p1</t>
  </si>
  <si>
    <t>2022 Private Site 3 - not real lat lon</t>
  </si>
  <si>
    <t>2022 Private Site 3 - approximate lat lon</t>
  </si>
  <si>
    <t>2022 Private Site 3 - approximate lat lon p1</t>
  </si>
  <si>
    <t>2022 Private Site 2 - not real lat lon</t>
  </si>
  <si>
    <t>2022 Private Site 2 - approximate lat lon</t>
  </si>
  <si>
    <t>2022 Private Site 2 - approximate lat lon p1</t>
  </si>
  <si>
    <t>Baja</t>
  </si>
  <si>
    <t>2022 Baja 1</t>
  </si>
  <si>
    <t>2022 Baja 1 p1</t>
  </si>
  <si>
    <t>2023 OR Eureka Rd</t>
  </si>
  <si>
    <t>2023 Oregon State - Eureka Rd</t>
  </si>
  <si>
    <t>2023 Oregon State - Eureka Rd p1</t>
  </si>
  <si>
    <t>2023 WA McCain Wetlands</t>
  </si>
  <si>
    <t>2023 Washington State - McCain Wetlands</t>
  </si>
  <si>
    <t>2023 Washington State - McCain Wetlands p1</t>
  </si>
  <si>
    <t>2023 Baja Rancho Cinega</t>
  </si>
  <si>
    <t>2023 Baja Rancho Cinega p1</t>
  </si>
  <si>
    <t>2023 Baja Rancho Cinega p2</t>
  </si>
  <si>
    <t>2023 Baja Rancho Cinega p3</t>
  </si>
  <si>
    <t>2023 Baja Rancho Cinega p4</t>
  </si>
  <si>
    <t>2023 OR Dizney Rd</t>
  </si>
  <si>
    <t>2023 Oregon State - Dizney Rd</t>
  </si>
  <si>
    <t>2023 Oregon State - Dizney Rd p1</t>
  </si>
  <si>
    <t>2023 WA Harder Spring</t>
  </si>
  <si>
    <t>2023 Washington State - Harder Spring</t>
  </si>
  <si>
    <t>2023 Washington State - Harder Spring p1</t>
  </si>
  <si>
    <t>2023 Washington State - Harder Spring p2</t>
  </si>
  <si>
    <t>2023 Los Vaqueros - Walnut Trail Marsh</t>
  </si>
  <si>
    <t>2023 Los Vaqueros - Walnut Trail Marsh p1</t>
  </si>
  <si>
    <t>2023 Kentucky Lateral</t>
  </si>
  <si>
    <t>2023 Kentucky Lateral p1</t>
  </si>
  <si>
    <t>2023 Markham Ravine</t>
  </si>
  <si>
    <t>2023 Markham Ravine p1</t>
  </si>
  <si>
    <t>2023 Plumas Arboga 8 - North Regional Pond</t>
  </si>
  <si>
    <t>2023 Plumas Arboga 8 - North Regional Pond p1</t>
  </si>
  <si>
    <t>2023 Plumas Arboga 8 - North Regional Pond p2</t>
  </si>
  <si>
    <t>2023 Bridge St Pond</t>
  </si>
  <si>
    <t>2023 San Jacinto Wildlife Area Bridge St. Pond</t>
  </si>
  <si>
    <t>2023 San Jacinto Wildlife Area Bridge St. Pond p1</t>
  </si>
  <si>
    <t>2023 West of Davis</t>
  </si>
  <si>
    <t>2023 San Jacinto Wildlife Area West of Davis</t>
  </si>
  <si>
    <t>2023 San Jacinto Wildlife Area West of Davis p1</t>
  </si>
  <si>
    <t>2023 San Jacinto Wildlife Area West of Davis p2</t>
  </si>
  <si>
    <t>2023 Peterson Ranch Pond - East</t>
  </si>
  <si>
    <t>2023 Peterson Ranch Pond - East p1</t>
  </si>
  <si>
    <t>2023 Los Vaqueros Reservoir</t>
  </si>
  <si>
    <t>2023 Los Vaqueros Reservoir p1</t>
  </si>
  <si>
    <t>2023 Los Vaqueros Reservoir p2</t>
  </si>
  <si>
    <t>2023 OR Prineville North</t>
  </si>
  <si>
    <t>2023 Oregon State - Prineville North</t>
  </si>
  <si>
    <t>2023 Oregon State - Prineville North p1</t>
  </si>
  <si>
    <t>2023 Oregon State - Prineville North p2</t>
  </si>
  <si>
    <t>Merced and San Luis NWR</t>
  </si>
  <si>
    <t>2023 Merced NWR - Cottonwood</t>
  </si>
  <si>
    <t>2023 Merced NWR - Cottonwood p1</t>
  </si>
  <si>
    <t>2023 Merced NWR - Cottonwood p2</t>
  </si>
  <si>
    <t>2023 San Luis Bear Creek</t>
  </si>
  <si>
    <t>2023 San Luis Bear Creek p1</t>
  </si>
  <si>
    <t>2023 North Regional Pond</t>
  </si>
  <si>
    <t>2023 North Regional Pond p1</t>
  </si>
  <si>
    <t>2023 Delevan NWR T43.1</t>
  </si>
  <si>
    <t>2023 Delevan NWR T43.1 p1</t>
  </si>
  <si>
    <t>2023 Colusa NWR T27.1</t>
  </si>
  <si>
    <t>2023 Colusa NWR T27.1 p1</t>
  </si>
  <si>
    <t>2023 Virginia at Ostrom</t>
  </si>
  <si>
    <t>2023 Virginia at Ostrom p1</t>
  </si>
  <si>
    <t>2023 Iron Point</t>
  </si>
  <si>
    <t>2023 Iron Point p1</t>
  </si>
  <si>
    <t>2023 Laguna Fry Confluence - 45 Sump</t>
  </si>
  <si>
    <t>2023 Laguna Fry Confluence - 45 Sump p1</t>
  </si>
  <si>
    <t>2023 Creed Rd</t>
  </si>
  <si>
    <t>2023 Denverton Creek</t>
  </si>
  <si>
    <t>2023 Denverton Creek p1</t>
  </si>
  <si>
    <t>2023 Hale Road</t>
  </si>
  <si>
    <t>2023 Hale Road p1</t>
  </si>
  <si>
    <t>2023 Hale Road p2</t>
  </si>
  <si>
    <t>2023 San Luis NWR - West Bank Creek</t>
  </si>
  <si>
    <t>2023 San Luis NWR - West Bank Creek p1</t>
  </si>
  <si>
    <t>2023 Laguna Fry Confluence - Site 1</t>
  </si>
  <si>
    <t>2023 Laguna Fry Confluence - Site 1 p1</t>
  </si>
  <si>
    <t>2023 Sedgwick</t>
  </si>
  <si>
    <t>2023 Sedgwick p1</t>
  </si>
  <si>
    <t>2023 Kern - Canebreak Ecological Reserve 4</t>
  </si>
  <si>
    <t>2023 Kern - Canebreak Ecological Reserve 4 p1</t>
  </si>
  <si>
    <t>2023 Wind Wolves Preserve Site 2</t>
  </si>
  <si>
    <t>2023 Wind Wolves Preserve Site 2 p1</t>
  </si>
  <si>
    <t>2023 Kern - HQ2</t>
  </si>
  <si>
    <t>2023 Kern - Headquarters 2</t>
  </si>
  <si>
    <t>2023 Kern - Headquarters 2 p1</t>
  </si>
  <si>
    <t>2023 Kern - Headquarters 2 p2</t>
  </si>
  <si>
    <t>2023 Wind Wolves Preserve site 1</t>
  </si>
  <si>
    <t>2023 Wind Wolves Preserve site 1 p1</t>
  </si>
  <si>
    <t>2023 Delevan T6</t>
  </si>
  <si>
    <t>2023 Delevan T6 p1</t>
  </si>
  <si>
    <t>2023 Conaway Ranch - HQ</t>
  </si>
  <si>
    <t>2023 Conaway Ranch - Headquarters</t>
  </si>
  <si>
    <t>2023 Conaway Ranch - Headquarters p1</t>
  </si>
  <si>
    <t>2023 Conaway Ranch NE</t>
  </si>
  <si>
    <t>2023 Conaway Ranch Northeast</t>
  </si>
  <si>
    <t>2023 Conaway Ranch Northeast p1</t>
  </si>
  <si>
    <t>2023 Plumas Arboga 2</t>
  </si>
  <si>
    <t>2023 Plumas Arboga 2 p1</t>
  </si>
  <si>
    <t>2023 Conaway Ranch North 2</t>
  </si>
  <si>
    <t>2023 Conaway Ranch North 2 p1</t>
  </si>
  <si>
    <t>2023 Conaway Ranch North 1</t>
  </si>
  <si>
    <t>2023 Conaway Ranch North 1 p1</t>
  </si>
  <si>
    <t>2023 South Virginia Road 3</t>
  </si>
  <si>
    <t>2023 South Virginia Road 3 p1</t>
  </si>
  <si>
    <t>2023 Merced NWR Deadman Wetland Ditch</t>
  </si>
  <si>
    <t>2023 Merced NWR Deadman Wetland Ditch p1</t>
  </si>
  <si>
    <t>2023 Weagell Property 1</t>
  </si>
  <si>
    <t>2023 Weagell Property 1 p1</t>
  </si>
  <si>
    <t>2023 Weagell Property 1 p2</t>
  </si>
  <si>
    <t>2023 Weagell Property 1 p3</t>
  </si>
  <si>
    <t>2023 Weagell Property 1 p4</t>
  </si>
  <si>
    <t>2023 Rancho Jamul North Pond - fix lat lon</t>
  </si>
  <si>
    <t>2023 Rancho Jamul - North Pond</t>
  </si>
  <si>
    <t>2023 Rancho Jamul - North Pond p1</t>
  </si>
  <si>
    <t>2023 Rancho Jamul Site 1 fix lat lon</t>
  </si>
  <si>
    <t>2023 Rancho Jamul - Site 1</t>
  </si>
  <si>
    <t>2023 Rancho Jamul - Site 1 p1</t>
  </si>
  <si>
    <t>2023 Rancho Jamul - Site 1 p2</t>
  </si>
  <si>
    <t>2023 Rancho Jamul - Site 1 p3</t>
  </si>
  <si>
    <t>2023 Panoche Creek Preserve - Corrals SE</t>
  </si>
  <si>
    <t>2023 Panoche Creek Preserve - Corrals South East</t>
  </si>
  <si>
    <t>2023 Panoche Creek Preserve - Corrals South East p1</t>
  </si>
  <si>
    <t>2023 Delevan NWR T43.2</t>
  </si>
  <si>
    <t>2023 Delevan NWR T43.2 p1</t>
  </si>
  <si>
    <t>2022 Panoche Creek Preserve Loc3</t>
  </si>
  <si>
    <t>2022 Panoche Creek Preserve Location 3</t>
  </si>
  <si>
    <t>2022 Panoche Creek Preserve Location 3 p1</t>
  </si>
  <si>
    <t>2022 Panoche Creek Preserve Loc4</t>
  </si>
  <si>
    <t>2022 Panoche Creek Preserve Location 4</t>
  </si>
  <si>
    <t>2022 Panoche Creek Preserve Location 4 p1</t>
  </si>
  <si>
    <t>2020 Fort Ord</t>
  </si>
  <si>
    <t>2020 Fort Ord p1</t>
  </si>
  <si>
    <t>2023 Colusa NWR T27.2</t>
  </si>
  <si>
    <t>2023 Colusa NWR T27.2 p1</t>
  </si>
  <si>
    <t>2024 Los Vaqueros Reservoir</t>
  </si>
  <si>
    <t>2024 Los Vaqueros Reservoir p1</t>
  </si>
  <si>
    <t>2024 Los Vaqueros Reservoir p2</t>
  </si>
  <si>
    <t>2024 Ohlone - Santa Lucia Preserve</t>
  </si>
  <si>
    <t>2024 Ohlone Pond</t>
  </si>
  <si>
    <t>2024 Ohlone Pond p1</t>
  </si>
  <si>
    <t>2024 Markham Ravine 1</t>
  </si>
  <si>
    <t>2024 Markham Ravine 1 p1</t>
  </si>
  <si>
    <t>2024 OR Eureka Lane</t>
  </si>
  <si>
    <t>2024 Oregon State -  Eureka Lane</t>
  </si>
  <si>
    <t>2024 Oregon State -  Eureka Lane p1</t>
  </si>
  <si>
    <t>2024 Moore Lake - confirm lat lon</t>
  </si>
  <si>
    <t>2024 Moore Lake</t>
  </si>
  <si>
    <t>2024 Moore Lake p1</t>
  </si>
  <si>
    <t>2024 SJWA Thistle NW of Bridge Street Pond</t>
  </si>
  <si>
    <t>2024 San Jacinto Wildlife Area - Thistle Patch NW of Bridge Street Pond</t>
  </si>
  <si>
    <t>2024 San Jacinto Wildlife Area - Thistle Patch NW of Bridge Street Pond p1</t>
  </si>
  <si>
    <t>2024 Merced NWR - Cottonwood Trail</t>
  </si>
  <si>
    <t>2024 Merced NWR - Cottonwood Trail p1</t>
  </si>
  <si>
    <t>2024 Dublin Ranch Preserve - Lin Livermore Conservation Area</t>
  </si>
  <si>
    <t>2024 Dublin Ranch Preserve - Lin Livermore Conservation Area p1</t>
  </si>
  <si>
    <t>2024 WA Harder Spring</t>
  </si>
  <si>
    <t>2024 Washington State - Harder Spring</t>
  </si>
  <si>
    <t>2024 Washington State - Harder Spring p1</t>
  </si>
  <si>
    <t>2024 WA McCain Pond</t>
  </si>
  <si>
    <t>2024 Washington State - McCain Pond</t>
  </si>
  <si>
    <t>2024 Washington State - McCain Pond p1</t>
  </si>
  <si>
    <t>2024 Rancho Jamul - North Pond</t>
  </si>
  <si>
    <t>2024 Rancho Jamul - North Pond p1</t>
  </si>
  <si>
    <t>2024 Rancho Jamul - Main Pond 1</t>
  </si>
  <si>
    <t>2024 Rancho Jamul - Main Pond 1 p1</t>
  </si>
  <si>
    <t>2024 Rancho Jamul - Main Pond 1 p2</t>
  </si>
  <si>
    <t>2024 Sedgwick</t>
  </si>
  <si>
    <t>2024 Sedgwick p1</t>
  </si>
  <si>
    <t>2024 Baja Lago Mesa Redonda</t>
  </si>
  <si>
    <t>2024 Baja Lago Mesa Redonda p1</t>
  </si>
  <si>
    <t>2024 Baja Lago Mesa Redonda p2</t>
  </si>
  <si>
    <t>2024 Baja Lago Mesa Redonda p3</t>
  </si>
  <si>
    <t>2024 Baja Rancho Cinega Redonda 1</t>
  </si>
  <si>
    <t>2024 Baja Rancho Cinega Redonda 1 p1</t>
  </si>
  <si>
    <t>2024 Baja Rancho Cinega Redonda 1 p2</t>
  </si>
  <si>
    <t>2024 Baja Rancho Cinega Redonda 1 p3</t>
  </si>
  <si>
    <t>2024 Baja Rancho Cinega Redonda 2</t>
  </si>
  <si>
    <t>2024 Baja Rancho Cinega Redonda 2 p1</t>
  </si>
  <si>
    <t>2024 Baja Rancho Cinega Redonda 2 p2</t>
  </si>
  <si>
    <t>2024 Colusa NWR T27.1</t>
  </si>
  <si>
    <t>2024 Colusa NWR T27.1 p1</t>
  </si>
  <si>
    <t>2024 Colusa NWR T27.2</t>
  </si>
  <si>
    <t>2024 Colusa NWR T27.2 p1</t>
  </si>
  <si>
    <t>2024 Kern 1 - check lat lon</t>
  </si>
  <si>
    <t>2024 Kern 1</t>
  </si>
  <si>
    <t>2024 Kern 1 p1</t>
  </si>
  <si>
    <t>2024 Panoche Creek Preserve - Dollar Marsh East</t>
  </si>
  <si>
    <t>2024 Panoche Creek Preserve - Dollar Marsh East p1</t>
  </si>
  <si>
    <t>2024 Wind Wolves Preserve - Tevis fix lat lon</t>
  </si>
  <si>
    <t>2024 Wind Wolves Preserve - Tevis</t>
  </si>
  <si>
    <t>2024 Wind Wolves Preserve - Tevis p1</t>
  </si>
  <si>
    <t>2024 Wind Wolves Preserve - Los Lobos fix lat lon</t>
  </si>
  <si>
    <t>2024 Wind Wolves Preserve - Los Lobos</t>
  </si>
  <si>
    <t>2024 Wind Wolves Preserve - Los Lobos p1</t>
  </si>
  <si>
    <t>2024 Wind Wolves Preserve - Pleitito</t>
  </si>
  <si>
    <t>2024 Wind Wolves Preserve - Pleitito p1</t>
  </si>
  <si>
    <t>2024 Wind Wolves Preserve - Pleitito p2</t>
  </si>
  <si>
    <t>2024 Wind Wolves Preserve - Santiago</t>
  </si>
  <si>
    <t>2024 Wind Wolves Preserve - Santiago p1</t>
  </si>
  <si>
    <t>2024 Newberry Springs</t>
  </si>
  <si>
    <t>2024 Newberry Springs p1</t>
  </si>
  <si>
    <t>2024 North Regional Pond</t>
  </si>
  <si>
    <t>2024 North Regional Pond p1</t>
  </si>
  <si>
    <t>2018 SJWA WSS</t>
  </si>
  <si>
    <t>2018 SJWA Little Ramona</t>
  </si>
  <si>
    <t>2018 SJWA Little Ramona p1</t>
  </si>
  <si>
    <t>Row Labels</t>
  </si>
  <si>
    <t>Grand Total</t>
  </si>
  <si>
    <t>Year</t>
  </si>
  <si>
    <t>Hatch Weeks</t>
  </si>
  <si>
    <t>Hatch Date</t>
  </si>
  <si>
    <t>Day of Year</t>
  </si>
  <si>
    <t>Offset from Day 90</t>
  </si>
  <si>
    <t>Week (offset from day 90)</t>
  </si>
  <si>
    <t>Pulse</t>
  </si>
  <si>
    <t>p1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</si>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</sst>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9" fontId="0" fillId="0" borderId="0" xfId="1" applyFont="1" applyAlignment="1">
      <alignment wrapText="1"/>
    </xf>
    <xf numFmtId="14" fontId="0" fillId="0" borderId="0" xfId="1" applyNumberFormat="1" applyFont="1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Sheet1!$H$2:$X$2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Sheet1!$H$3:$X$3</c:f>
              <c:numCache>
                <c:formatCode>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0.125</c:v>
                </c:pt>
                <c:pt idx="4">
                  <c:v>0.125</c:v>
                </c:pt>
                <c:pt idx="5">
                  <c:v>0.125</c:v>
                </c:pt>
                <c:pt idx="6">
                  <c:v>0</c:v>
                </c:pt>
                <c:pt idx="7">
                  <c:v>0</c:v>
                </c:pt>
                <c:pt idx="8">
                  <c:v>0.25</c:v>
                </c:pt>
                <c:pt idx="9">
                  <c:v>0.125</c:v>
                </c:pt>
                <c:pt idx="10">
                  <c:v>0.25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9E-4239-BE2E-EAF8C2DE8BC5}"/>
            </c:ext>
          </c:extLst>
        </c:ser>
        <c:ser>
          <c:idx val="1"/>
          <c:order val="1"/>
          <c:tx>
            <c:strRef>
              <c:f>Sheet1!$G$4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Sheet1!$H$2:$X$2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Sheet1!$H$4:$X$4</c:f>
              <c:numCache>
                <c:formatCode>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</c:v>
                </c:pt>
                <c:pt idx="7">
                  <c:v>0.16666666666666666</c:v>
                </c:pt>
                <c:pt idx="8">
                  <c:v>0</c:v>
                </c:pt>
                <c:pt idx="9">
                  <c:v>0.33333333333333331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9E-4239-BE2E-EAF8C2DE8BC5}"/>
            </c:ext>
          </c:extLst>
        </c:ser>
        <c:ser>
          <c:idx val="2"/>
          <c:order val="2"/>
          <c:tx>
            <c:strRef>
              <c:f>Sheet1!$G$5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Sheet1!$H$2:$X$2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Sheet1!$H$5:$X$5</c:f>
              <c:numCache>
                <c:formatCode>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5.5555555555555552E-2</c:v>
                </c:pt>
                <c:pt idx="4">
                  <c:v>0.22222222222222221</c:v>
                </c:pt>
                <c:pt idx="5">
                  <c:v>0.1111111111111111</c:v>
                </c:pt>
                <c:pt idx="6">
                  <c:v>0.16666666666666666</c:v>
                </c:pt>
                <c:pt idx="7">
                  <c:v>5.5555555555555552E-2</c:v>
                </c:pt>
                <c:pt idx="8">
                  <c:v>0.16666666666666666</c:v>
                </c:pt>
                <c:pt idx="9">
                  <c:v>5.5555555555555552E-2</c:v>
                </c:pt>
                <c:pt idx="10">
                  <c:v>0.16666666666666666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9E-4239-BE2E-EAF8C2DE8BC5}"/>
            </c:ext>
          </c:extLst>
        </c:ser>
        <c:ser>
          <c:idx val="3"/>
          <c:order val="3"/>
          <c:tx>
            <c:strRef>
              <c:f>Sheet1!$G$6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Sheet1!$H$2:$X$2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Sheet1!$H$6:$X$6</c:f>
              <c:numCache>
                <c:formatCode>0%</c:formatCode>
                <c:ptCount val="17"/>
                <c:pt idx="0">
                  <c:v>0</c:v>
                </c:pt>
                <c:pt idx="1">
                  <c:v>0.1111111111111111</c:v>
                </c:pt>
                <c:pt idx="2">
                  <c:v>0.22222222222222221</c:v>
                </c:pt>
                <c:pt idx="3">
                  <c:v>5.5555555555555552E-2</c:v>
                </c:pt>
                <c:pt idx="4">
                  <c:v>0.1111111111111111</c:v>
                </c:pt>
                <c:pt idx="5">
                  <c:v>0</c:v>
                </c:pt>
                <c:pt idx="6">
                  <c:v>0.1111111111111111</c:v>
                </c:pt>
                <c:pt idx="7">
                  <c:v>0.22222222222222221</c:v>
                </c:pt>
                <c:pt idx="8">
                  <c:v>0.1111111111111111</c:v>
                </c:pt>
                <c:pt idx="9">
                  <c:v>5.5555555555555552E-2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9E-4239-BE2E-EAF8C2DE8BC5}"/>
            </c:ext>
          </c:extLst>
        </c:ser>
        <c:ser>
          <c:idx val="4"/>
          <c:order val="4"/>
          <c:tx>
            <c:strRef>
              <c:f>Sheet1!$G$7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Sheet1!$H$2:$X$2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Sheet1!$H$7:$X$7</c:f>
              <c:numCache>
                <c:formatCode>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3.4482758620689655E-2</c:v>
                </c:pt>
                <c:pt idx="3">
                  <c:v>6.8965517241379309E-2</c:v>
                </c:pt>
                <c:pt idx="4">
                  <c:v>0.10344827586206896</c:v>
                </c:pt>
                <c:pt idx="5">
                  <c:v>0.10344827586206896</c:v>
                </c:pt>
                <c:pt idx="6">
                  <c:v>6.8965517241379309E-2</c:v>
                </c:pt>
                <c:pt idx="7">
                  <c:v>0.10344827586206896</c:v>
                </c:pt>
                <c:pt idx="8">
                  <c:v>6.8965517241379309E-2</c:v>
                </c:pt>
                <c:pt idx="9">
                  <c:v>0.10344827586206896</c:v>
                </c:pt>
                <c:pt idx="10">
                  <c:v>0.10344827586206896</c:v>
                </c:pt>
                <c:pt idx="11">
                  <c:v>0.10344827586206896</c:v>
                </c:pt>
                <c:pt idx="12">
                  <c:v>3.4482758620689655E-2</c:v>
                </c:pt>
                <c:pt idx="13">
                  <c:v>3.4482758620689655E-2</c:v>
                </c:pt>
                <c:pt idx="14">
                  <c:v>3.4482758620689655E-2</c:v>
                </c:pt>
                <c:pt idx="15">
                  <c:v>3.4482758620689655E-2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9E-4239-BE2E-EAF8C2DE8BC5}"/>
            </c:ext>
          </c:extLst>
        </c:ser>
        <c:ser>
          <c:idx val="5"/>
          <c:order val="5"/>
          <c:tx>
            <c:strRef>
              <c:f>Sheet1!$G$8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Sheet1!$H$2:$X$2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Sheet1!$H$8:$X$8</c:f>
              <c:numCache>
                <c:formatCode>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6.6666666666666666E-2</c:v>
                </c:pt>
                <c:pt idx="4">
                  <c:v>0.13333333333333333</c:v>
                </c:pt>
                <c:pt idx="5">
                  <c:v>0.13333333333333333</c:v>
                </c:pt>
                <c:pt idx="6">
                  <c:v>0</c:v>
                </c:pt>
                <c:pt idx="7">
                  <c:v>6.6666666666666666E-2</c:v>
                </c:pt>
                <c:pt idx="8">
                  <c:v>0.2</c:v>
                </c:pt>
                <c:pt idx="9">
                  <c:v>6.6666666666666666E-2</c:v>
                </c:pt>
                <c:pt idx="10">
                  <c:v>0.13333333333333333</c:v>
                </c:pt>
                <c:pt idx="11">
                  <c:v>0.13333333333333333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6.6666666666666666E-2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9E-4239-BE2E-EAF8C2DE8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9852223"/>
        <c:axId val="1409848383"/>
      </c:barChart>
      <c:catAx>
        <c:axId val="14098522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848383"/>
        <c:crosses val="autoZero"/>
        <c:auto val="1"/>
        <c:lblAlgn val="ctr"/>
        <c:lblOffset val="100"/>
        <c:noMultiLvlLbl val="0"/>
      </c:catAx>
      <c:valAx>
        <c:axId val="14098483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85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319087</xdr:colOff>
      <xdr:row>16</xdr:row>
      <xdr:rowOff>171450</xdr:rowOff>
    </xdr:from>
    <xdr:to>
      <xdr:col>23</xdr:col>
      <xdr:colOff>119061</xdr:colOff>
      <xdr:row>31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8AB065-4EB6-04C3-7699-826552E199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Schackwitz" refreshedDate="46014.520650231483" createdVersion="8" refreshedVersion="8" minRefreshableVersion="3" recordCount="195" xr:uid="{EC03CC70-BBF0-4833-95A5-F7EF1CA81B9F}">
  <cacheSource type="worksheet">
    <worksheetSource ref="A1:R1048576" sheet="breeding dates"/>
  </cacheSource>
  <cacheFields count="18">
    <cacheField name="Site ID" numFmtId="0">
      <sharedItems containsString="0" containsBlank="1" containsNumber="1" containsInteger="1" minValue="2059" maxValue="82621"/>
    </cacheField>
    <cacheField name="Group" numFmtId="0">
      <sharedItems containsBlank="1" count="21">
        <s v="Solano County"/>
        <s v="Iron Point"/>
        <s v="Placer County"/>
        <s v="Markham Ravine"/>
        <s v="San Jacinto Wildlife Area"/>
        <s v="Colusa NWR"/>
        <s v="Bob's Sites"/>
        <s v="Sedgwick"/>
        <s v="Monterey"/>
        <s v="Rancho Jamul"/>
        <s v="CNLM"/>
        <s v="Southern Sierra Research Station"/>
        <s v="Wind Wolves Preserve"/>
        <s v="Washington"/>
        <s v="Oregon"/>
        <s v="San Bernardino"/>
        <s v="Los Vaqueros"/>
        <s v="Dairies"/>
        <s v="Baja"/>
        <s v="Merced and San Luis NWR"/>
        <m/>
      </sharedItems>
    </cacheField>
    <cacheField name="Name" numFmtId="0">
      <sharedItems containsBlank="1"/>
    </cacheField>
    <cacheField name="Pretty Name" numFmtId="0">
      <sharedItems containsBlank="1"/>
    </cacheField>
    <cacheField name="Deployment Start" numFmtId="0">
      <sharedItems containsNonDate="0" containsDate="1" containsString="0" containsBlank="1" minDate="2017-03-02T00:00:00" maxDate="2024-06-06T00:00:00"/>
    </cacheField>
    <cacheField name="Deployment End" numFmtId="0">
      <sharedItems containsNonDate="0" containsDate="1" containsString="0" containsBlank="1" minDate="2017-07-24T00:00:00" maxDate="2024-09-25T00:00:00"/>
    </cacheField>
    <cacheField name="Breeding Type" numFmtId="0">
      <sharedItems containsBlank="1"/>
    </cacheField>
    <cacheField name="Complex Types" numFmtId="0">
      <sharedItems containsBlank="1"/>
    </cacheField>
    <cacheField name="Pulse Name" numFmtId="0">
      <sharedItems containsBlank="1"/>
    </cacheField>
    <cacheField name="Outcome" numFmtId="0">
      <sharedItems containsBlank="1"/>
    </cacheField>
    <cacheField name="Pulse" numFmtId="0">
      <sharedItems containsBlank="1" count="5">
        <s v="p1"/>
        <s v="p2"/>
        <s v="p3"/>
        <s v="p4"/>
        <m/>
      </sharedItems>
    </cacheField>
    <cacheField name="mcstart" numFmtId="0">
      <sharedItems containsDate="1" containsBlank="1" containsMixedTypes="1" minDate="2017-03-07T00:00:00" maxDate="2024-06-19T00:00:00"/>
    </cacheField>
    <cacheField name="incstart" numFmtId="0">
      <sharedItems containsDate="1" containsBlank="1" containsMixedTypes="1" minDate="2017-04-19T00:00:00" maxDate="2024-07-07T00:00:00"/>
    </cacheField>
    <cacheField name="hatch" numFmtId="0">
      <sharedItems containsDate="1" containsBlank="1" containsMixedTypes="1" minDate="2017-05-01T00:00:00" maxDate="2024-07-19T00:00:00" count="104">
        <d v="2017-05-01T00:00:00"/>
        <d v="2017-05-30T00:00:00"/>
        <d v="2017-06-29T00:00:00"/>
        <d v="2018-05-25T00:00:00"/>
        <s v="ND"/>
        <d v="2018-05-17T00:00:00"/>
        <d v="2018-07-01T00:00:00"/>
        <s v="pre"/>
        <d v="2019-05-10T00:00:00"/>
        <d v="2019-04-27T00:00:00"/>
        <d v="2019-06-09T00:00:00"/>
        <d v="2019-06-04T00:00:00"/>
        <d v="2019-05-03T00:00:00"/>
        <d v="2019-05-28T00:00:00"/>
        <d v="2019-05-31T00:00:00"/>
        <d v="2019-06-12T00:00:00"/>
        <d v="2020-04-27T00:00:00"/>
        <d v="2020-06-03T00:00:00"/>
        <d v="2020-05-19T00:00:00"/>
        <d v="2020-06-06T00:00:00"/>
        <d v="2021-04-28T00:00:00"/>
        <d v="2021-04-24T00:00:00"/>
        <d v="2020-05-04T00:00:00"/>
        <d v="2021-05-26T00:00:00"/>
        <d v="2021-05-12T00:00:00"/>
        <d v="2021-06-12T00:00:00"/>
        <d v="2021-05-14T00:00:00"/>
        <d v="2021-05-09T00:00:00"/>
        <d v="2021-06-04T00:00:00"/>
        <d v="2021-06-15T00:00:00"/>
        <d v="2021-05-02T00:00:00"/>
        <d v="2021-04-30T00:00:00"/>
        <d v="2021-05-01T00:00:00"/>
        <d v="2021-05-24T00:00:00"/>
        <d v="2021-05-31T00:00:00"/>
        <d v="2021-06-10T00:00:00"/>
        <d v="2021-05-18T00:00:00"/>
        <d v="2021-05-08T00:00:00"/>
        <d v="2021-05-28T00:00:00"/>
        <d v="2022-04-12T00:00:00"/>
        <d v="2022-05-17T00:00:00"/>
        <d v="2022-06-07T00:00:00"/>
        <d v="2022-04-14T00:00:00"/>
        <d v="2022-05-22T00:00:00"/>
        <d v="2022-04-13T00:00:00"/>
        <d v="2022-05-26T00:00:00"/>
        <d v="2022-04-22T00:00:00"/>
        <d v="2022-05-16T00:00:00"/>
        <d v="2022-04-15T00:00:00"/>
        <d v="2022-05-25T00:00:00"/>
        <d v="2022-05-31T00:00:00"/>
        <d v="2022-04-20T00:00:00"/>
        <d v="2022-05-02T00:00:00"/>
        <d v="2022-05-21T00:00:00"/>
        <d v="2022-05-23T00:00:00"/>
        <d v="2022-04-19T00:00:00"/>
        <d v="2022-04-30T00:00:00"/>
        <d v="2023-05-19T00:00:00"/>
        <d v="2023-05-15T00:00:00"/>
        <d v="2023-04-26T00:00:00"/>
        <d v="2023-05-31T00:00:00"/>
        <d v="2023-05-06T00:00:00"/>
        <d v="2023-06-15T00:00:00"/>
        <d v="2023-05-22T00:00:00"/>
        <d v="2023-04-28T00:00:00"/>
        <d v="2023-06-20T00:00:00"/>
        <d v="2023-05-25T00:00:00"/>
        <d v="2023-07-02T00:00:00"/>
        <d v="2023-05-05T00:00:00"/>
        <d v="2023-07-16T00:00:00"/>
        <d v="2023-05-11T00:00:00"/>
        <d v="2023-06-06T00:00:00"/>
        <s v="post"/>
        <d v="2023-06-13T00:00:00"/>
        <d v="2023-05-16T00:00:00"/>
        <d v="2023-04-15T00:00:00"/>
        <d v="2023-05-01T00:00:00"/>
        <d v="2023-06-08T00:00:00"/>
        <d v="2023-07-13T00:00:00"/>
        <d v="2023-06-11T00:00:00"/>
        <d v="2023-06-07T00:00:00"/>
        <d v="2023-06-28T00:00:00"/>
        <d v="2023-06-18T00:00:00"/>
        <d v="2023-05-30T00:00:00"/>
        <d v="2023-05-03T00:00:00"/>
        <d v="2023-04-25T00:00:00"/>
        <d v="2023-06-22T00:00:00"/>
        <d v="2020-04-24T00:00:00"/>
        <d v="2024-05-05T00:00:00"/>
        <d v="2024-06-10T00:00:00"/>
        <d v="2024-05-02T00:00:00"/>
        <d v="2024-05-31T00:00:00"/>
        <d v="2024-07-18T00:00:00"/>
        <d v="2024-05-10T00:00:00"/>
        <d v="2024-05-26T00:00:00"/>
        <d v="2024-04-20T00:00:00"/>
        <d v="2024-05-24T00:00:00"/>
        <d v="2024-06-21T00:00:00"/>
        <d v="2024-05-25T00:00:00"/>
        <d v="2024-06-18T00:00:00"/>
        <d v="2024-04-29T00:00:00"/>
        <d v="2024-06-04T00:00:00"/>
        <d v="2024-06-11T00:00:00"/>
        <m/>
      </sharedItems>
    </cacheField>
    <cacheField name="fledgestart" numFmtId="0">
      <sharedItems containsDate="1" containsBlank="1" containsMixedTypes="1" minDate="2017-06-12T00:00:00" maxDate="2024-07-28T00:00:00"/>
    </cacheField>
    <cacheField name="fledgedisp" numFmtId="0">
      <sharedItems containsDate="1" containsBlank="1" containsMixedTypes="1" minDate="2017-06-22T00:00:00" maxDate="2024-07-31T00:00:00"/>
    </cacheField>
    <cacheField name="abandon" numFmtId="0">
      <sharedItems containsDate="1" containsBlank="1" containsMixedTypes="1" minDate="2017-05-03T00:00:00" maxDate="1900-01-01T04:50:04"/>
    </cacheField>
    <cacheField name="partial abandon" numFmtId="0">
      <sharedItems containsDate="1" containsBlank="1" containsMixedTypes="1" minDate="2019-05-24T00:00:00" maxDate="2024-06-2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n v="2059"/>
    <x v="0"/>
    <s v="2017 Rush Ranch"/>
    <s v="2017 Rush Ranch"/>
    <d v="2017-03-02T00:00:00"/>
    <d v="2017-07-24T00:00:00"/>
    <s v="Complex"/>
    <s v="Multiple, Retry"/>
    <s v="2017 Rush Ranch p1"/>
    <s v="Abandoned"/>
    <x v="0"/>
    <d v="2017-03-07T00:00:00"/>
    <d v="2017-04-19T00:00:00"/>
    <x v="0"/>
    <s v="ND"/>
    <s v="ND"/>
    <d v="2017-05-03T00:00:00"/>
    <s v="ND"/>
  </r>
  <r>
    <n v="2059"/>
    <x v="0"/>
    <s v="2017 Rush Ranch"/>
    <s v="2017 Rush Ranch"/>
    <d v="2017-03-02T00:00:00"/>
    <d v="2017-07-24T00:00:00"/>
    <s v="Complex"/>
    <s v="Multiple, Retry"/>
    <s v="2017 Rush Ranch p2"/>
    <s v="Successful"/>
    <x v="1"/>
    <d v="2017-05-08T00:00:00"/>
    <d v="2017-05-18T00:00:00"/>
    <x v="1"/>
    <d v="2017-06-12T00:00:00"/>
    <d v="2017-06-22T00:00:00"/>
    <s v="ND"/>
    <s v="ND"/>
  </r>
  <r>
    <n v="2059"/>
    <x v="0"/>
    <s v="2017 Rush Ranch"/>
    <s v="2017 Rush Ranch"/>
    <d v="2017-03-02T00:00:00"/>
    <d v="2017-07-24T00:00:00"/>
    <s v="Complex"/>
    <s v="Multiple, Retry"/>
    <s v="2017 Rush Ranch p3"/>
    <s v="Successful"/>
    <x v="2"/>
    <d v="2017-06-02T00:00:00"/>
    <d v="2017-06-17T00:00:00"/>
    <x v="2"/>
    <s v="ND"/>
    <s v="ND"/>
    <s v="ND"/>
    <s v="ND"/>
  </r>
  <r>
    <n v="2719"/>
    <x v="0"/>
    <s v="2018 Rush Ranch"/>
    <s v="2018 Rush Ranch"/>
    <d v="2018-02-09T00:00:00"/>
    <d v="2018-06-26T00:00:00"/>
    <s v="Simple"/>
    <m/>
    <s v="2018 Rush Ranch p1"/>
    <s v="Successful"/>
    <x v="0"/>
    <d v="2018-05-04T00:00:00"/>
    <d v="2018-05-13T00:00:00"/>
    <x v="3"/>
    <d v="2018-06-11T00:00:00"/>
    <d v="2018-06-23T00:00:00"/>
    <s v="ND"/>
    <s v="ND"/>
  </r>
  <r>
    <n v="2908"/>
    <x v="0"/>
    <s v="2020 Creed Road"/>
    <s v="2020 Denverton Creek"/>
    <d v="2020-02-12T00:00:00"/>
    <d v="2020-07-11T00:00:00"/>
    <s v="No Colony"/>
    <m/>
    <s v="2020 Denverton Creek p1"/>
    <s v="No Colony"/>
    <x v="0"/>
    <s v="ND"/>
    <s v="ND"/>
    <x v="4"/>
    <s v="ND"/>
    <s v="ND"/>
    <s v="ND"/>
    <s v="ND"/>
  </r>
  <r>
    <n v="2915"/>
    <x v="0"/>
    <s v="2020 Rush Ranch"/>
    <s v="2020 Rush Ranch"/>
    <d v="2020-02-12T00:00:00"/>
    <d v="2020-07-10T00:00:00"/>
    <s v="No Colony"/>
    <m/>
    <s v="2020 Rush Ranch p1"/>
    <s v="No Colony"/>
    <x v="0"/>
    <s v="ND"/>
    <s v="ND"/>
    <x v="4"/>
    <s v="ND"/>
    <s v="ND"/>
    <s v="ND"/>
    <s v="ND"/>
  </r>
  <r>
    <n v="3150"/>
    <x v="1"/>
    <s v="2018 Iron Point"/>
    <s v="2018 Iron Point"/>
    <d v="2018-04-22T00:00:00"/>
    <d v="2018-05-19T00:00:00"/>
    <s v="No Colony"/>
    <m/>
    <s v="2018 Iron Point p1"/>
    <s v="No Colony"/>
    <x v="0"/>
    <s v="pre"/>
    <s v="ND"/>
    <x v="4"/>
    <s v="ND"/>
    <s v="ND"/>
    <s v="ND"/>
    <s v="ND"/>
  </r>
  <r>
    <n v="3281"/>
    <x v="2"/>
    <s v="2018 Red Wing Ranch"/>
    <s v="2018 Red Wing Ranch"/>
    <d v="2018-05-04T00:00:00"/>
    <d v="2018-06-04T00:00:00"/>
    <s v="Unknown"/>
    <m/>
    <s v="2018 Red Wing Ranch p1"/>
    <s v="Abandoned"/>
    <x v="0"/>
    <s v="pre"/>
    <d v="2018-05-05T00:00:00"/>
    <x v="5"/>
    <s v="ND"/>
    <s v="ND"/>
    <d v="2018-05-22T00:00:00"/>
    <s v="ND"/>
  </r>
  <r>
    <n v="3348"/>
    <x v="3"/>
    <s v="2018 Markham Ravine Main"/>
    <s v="2018 Markham Ravine"/>
    <d v="2018-06-26T00:00:00"/>
    <d v="2018-07-23T00:00:00"/>
    <s v="Unknown"/>
    <m/>
    <s v="2018 Markham Ravine p1"/>
    <s v="Successful"/>
    <x v="0"/>
    <s v="pre"/>
    <d v="2018-06-19T00:00:00"/>
    <x v="6"/>
    <d v="2018-07-13T00:00:00"/>
    <d v="2018-07-17T00:00:00"/>
    <s v="ND"/>
    <s v="ND"/>
  </r>
  <r>
    <n v="3366"/>
    <x v="3"/>
    <s v="2018 Markham Ravine westside"/>
    <s v="2018 Markham Ravine - West"/>
    <d v="2018-06-26T00:00:00"/>
    <d v="2018-07-13T00:00:00"/>
    <s v="Unknown"/>
    <m/>
    <s v="2018 Markham Ravine - West p1"/>
    <s v="Successful"/>
    <x v="0"/>
    <s v="pre"/>
    <s v="pre"/>
    <x v="7"/>
    <s v="pre"/>
    <s v="post"/>
    <s v="ND"/>
    <s v="ND"/>
  </r>
  <r>
    <n v="3682"/>
    <x v="4"/>
    <s v="2018 SJWA-rose-2"/>
    <s v="2018 San Jacinto Wildlife Area Bridge St. Pond"/>
    <d v="2018-04-10T00:00:00"/>
    <d v="2018-04-27T00:00:00"/>
    <s v="Unknown"/>
    <m/>
    <s v="2018 San Jacinto Wildlife Area Bridge St. Pond p1"/>
    <s v="Abandoned"/>
    <x v="0"/>
    <s v="pre"/>
    <s v="ND"/>
    <x v="4"/>
    <s v="ND"/>
    <s v="ND"/>
    <d v="2018-04-22T00:00:00"/>
    <s v="ND"/>
  </r>
  <r>
    <n v="4455"/>
    <x v="0"/>
    <s v="2019 Creed Road"/>
    <s v="2019 Denverton Creek"/>
    <d v="2019-03-17T00:00:00"/>
    <d v="2019-07-07T00:00:00"/>
    <s v="Multiple"/>
    <m/>
    <s v="2019 Denverton Creek p1"/>
    <s v="Successful"/>
    <x v="0"/>
    <d v="2019-03-26T00:00:00"/>
    <d v="2019-04-28T00:00:00"/>
    <x v="8"/>
    <d v="2019-05-23T00:00:00"/>
    <d v="2019-05-30T00:00:00"/>
    <s v="ND"/>
    <s v="ND"/>
  </r>
  <r>
    <n v="4455"/>
    <x v="0"/>
    <s v="2019 Creed Road"/>
    <s v="2019 Denverton Creek"/>
    <d v="2019-03-17T00:00:00"/>
    <d v="2019-07-07T00:00:00"/>
    <s v="Multiple"/>
    <m/>
    <s v="2019 Denverton Creek p2"/>
    <s v="Abandoned"/>
    <x v="1"/>
    <d v="2019-05-19T00:00:00"/>
    <s v="ND"/>
    <x v="4"/>
    <s v="ND"/>
    <s v="ND"/>
    <d v="2019-05-31T00:00:00"/>
    <s v="ND"/>
  </r>
  <r>
    <n v="4456"/>
    <x v="0"/>
    <s v="2019 Hay Landfill"/>
    <s v="2019 Hay Landfill"/>
    <d v="2019-04-08T00:00:00"/>
    <d v="2019-07-07T00:00:00"/>
    <s v="Multiple"/>
    <m/>
    <s v="2019 Hay Landfill p1"/>
    <s v="Successful"/>
    <x v="0"/>
    <d v="2019-04-08T00:00:00"/>
    <d v="2019-04-15T00:00:00"/>
    <x v="9"/>
    <d v="2019-05-11T00:00:00"/>
    <d v="2019-05-29T00:00:00"/>
    <s v="ND"/>
    <s v="ND"/>
  </r>
  <r>
    <n v="4456"/>
    <x v="0"/>
    <s v="2019 Hay Landfill"/>
    <s v="2019 Hay Landfill"/>
    <d v="2019-04-08T00:00:00"/>
    <d v="2019-07-07T00:00:00"/>
    <s v="Multiple"/>
    <m/>
    <s v="2019 Hay Landfill p2"/>
    <s v="Partially Abandoned"/>
    <x v="1"/>
    <d v="2019-05-19T00:00:00"/>
    <d v="2019-05-28T00:00:00"/>
    <x v="10"/>
    <d v="2019-06-22T00:00:00"/>
    <d v="2019-07-02T00:00:00"/>
    <s v="ND"/>
    <d v="2019-06-13T00:00:00"/>
  </r>
  <r>
    <n v="4639"/>
    <x v="0"/>
    <s v="2019 Leisure Town"/>
    <s v="2019 Leisure Town Road"/>
    <d v="2019-03-17T00:00:00"/>
    <d v="2019-07-07T00:00:00"/>
    <s v="Multiple"/>
    <m/>
    <s v="2019 Leisure Town Road p1"/>
    <s v="Successful"/>
    <x v="0"/>
    <d v="2019-03-29T00:00:00"/>
    <s v="ND"/>
    <x v="4"/>
    <d v="2019-05-17T00:00:00"/>
    <d v="2019-05-20T00:00:00"/>
    <s v="ND"/>
    <s v="ND"/>
  </r>
  <r>
    <n v="4639"/>
    <x v="0"/>
    <s v="2019 Leisure Town"/>
    <s v="2019 Leisure Town Road"/>
    <d v="2019-03-17T00:00:00"/>
    <d v="2019-07-07T00:00:00"/>
    <s v="Multiple"/>
    <m/>
    <s v="2019 Leisure Town Road p2"/>
    <s v="Successful"/>
    <x v="1"/>
    <d v="2019-05-19T00:00:00"/>
    <d v="2019-05-23T00:00:00"/>
    <x v="11"/>
    <d v="2019-06-17T00:00:00"/>
    <d v="2019-07-04T00:00:00"/>
    <s v="ND"/>
    <s v="ND"/>
  </r>
  <r>
    <n v="4979"/>
    <x v="1"/>
    <s v="2019 Iron Point"/>
    <s v="2019 Iron Point"/>
    <d v="2019-04-24T00:00:00"/>
    <d v="2019-08-01T00:00:00"/>
    <s v="Asynchronous"/>
    <m/>
    <s v="2019 Iron Point p1"/>
    <s v="Successful"/>
    <x v="0"/>
    <s v="pre"/>
    <d v="2019-04-21T00:00:00"/>
    <x v="12"/>
    <d v="2019-05-14T00:00:00"/>
    <d v="2019-07-06T00:00:00"/>
    <s v="ND"/>
    <s v="ND"/>
  </r>
  <r>
    <n v="5637"/>
    <x v="3"/>
    <s v="2019 Markham Ravine"/>
    <s v="2019 Markham Ravine"/>
    <d v="2019-05-10T00:00:00"/>
    <d v="2019-07-08T00:00:00"/>
    <s v="Simple"/>
    <m/>
    <s v="2019 Markham Ravine p1"/>
    <s v="Successful"/>
    <x v="0"/>
    <s v="pre"/>
    <d v="2019-05-16T00:00:00"/>
    <x v="13"/>
    <d v="2019-06-16T00:00:00"/>
    <d v="2019-06-18T00:00:00"/>
    <s v="ND"/>
    <s v="ND"/>
  </r>
  <r>
    <n v="5638"/>
    <x v="0"/>
    <s v="2019 Rush Ranch"/>
    <s v="2019 Rush Ranch"/>
    <d v="2019-02-06T00:00:00"/>
    <d v="2019-07-06T00:00:00"/>
    <s v="Unknown"/>
    <m/>
    <s v="2019 Rush Ranch p1"/>
    <s v="Abandoned"/>
    <x v="0"/>
    <d v="2019-05-01T00:00:00"/>
    <d v="2019-05-08T00:00:00"/>
    <x v="4"/>
    <s v="ND"/>
    <s v="ND"/>
    <d v="2019-05-22T00:00:00"/>
    <s v="ND"/>
  </r>
  <r>
    <n v="5640"/>
    <x v="3"/>
    <s v="2019 Markham Ravine 2"/>
    <s v="2019 Markham Ravine 2"/>
    <d v="2019-05-10T00:00:00"/>
    <d v="2019-07-08T00:00:00"/>
    <s v="Simple"/>
    <m/>
    <s v="2019 Markham Ravine 2 p1"/>
    <s v="Partially Abandoned"/>
    <x v="0"/>
    <s v="pre"/>
    <d v="2019-05-19T00:00:00"/>
    <x v="14"/>
    <d v="2019-06-09T00:00:00"/>
    <d v="2019-06-20T00:00:00"/>
    <s v="ND"/>
    <d v="2019-05-24T00:00:00"/>
  </r>
  <r>
    <n v="5642"/>
    <x v="5"/>
    <s v="2019 Colusa NWR 27-1"/>
    <s v="2019 Colusa NWR T27.1"/>
    <d v="2019-05-27T00:00:00"/>
    <d v="2019-08-12T00:00:00"/>
    <s v="Simple"/>
    <m/>
    <s v="2019 Colusa NWR T27.1 p1"/>
    <s v="Successful"/>
    <x v="0"/>
    <s v="pre"/>
    <d v="2019-05-31T00:00:00"/>
    <x v="15"/>
    <d v="2019-06-27T00:00:00"/>
    <d v="2019-07-21T00:00:00"/>
    <s v="ND"/>
    <s v="ND"/>
  </r>
  <r>
    <n v="5643"/>
    <x v="5"/>
    <s v="2019 Colusa NWR 27-2"/>
    <s v="2019 Colusa NWR T27.2"/>
    <d v="2019-05-21T00:00:00"/>
    <d v="2019-06-18T00:00:00"/>
    <s v="Simple"/>
    <m/>
    <s v="2019 Colusa NWR T27.2 p1"/>
    <s v="Successful"/>
    <x v="0"/>
    <s v="pre"/>
    <d v="2019-05-16T00:00:00"/>
    <x v="13"/>
    <d v="2019-06-14T00:00:00"/>
    <d v="2019-06-16T00:00:00"/>
    <s v="ND"/>
    <s v="ND"/>
  </r>
  <r>
    <n v="6199"/>
    <x v="0"/>
    <s v="2020 Hay Landfill"/>
    <s v="2020 Hay Landfill"/>
    <d v="2020-02-12T00:00:00"/>
    <d v="2020-07-10T00:00:00"/>
    <s v="Complex"/>
    <s v="Additions, Multiple"/>
    <s v="2020 Hay Landfill p1"/>
    <s v="Successful"/>
    <x v="0"/>
    <d v="2020-04-03T00:00:00"/>
    <d v="2020-04-15T00:00:00"/>
    <x v="16"/>
    <d v="2020-05-11T00:00:00"/>
    <d v="2020-06-12T00:00:00"/>
    <s v="ND"/>
    <s v="ND"/>
  </r>
  <r>
    <n v="6199"/>
    <x v="0"/>
    <s v="2020 Hay Landfill"/>
    <s v="2020 Hay Landfill"/>
    <d v="2020-02-12T00:00:00"/>
    <d v="2020-07-10T00:00:00"/>
    <s v="Complex"/>
    <s v="Additions, Multiple"/>
    <s v="2020 Hay Landfill p2"/>
    <s v="Successful"/>
    <x v="1"/>
    <d v="2020-05-13T00:00:00"/>
    <d v="2020-05-22T00:00:00"/>
    <x v="17"/>
    <d v="2020-06-21T00:00:00"/>
    <d v="2020-07-03T00:00:00"/>
    <s v="ND"/>
    <s v="ND"/>
  </r>
  <r>
    <n v="6404"/>
    <x v="3"/>
    <s v="2020 Markham Ravine"/>
    <s v="2020 Markham Ravine"/>
    <d v="2020-04-28T00:00:00"/>
    <d v="2020-06-24T00:00:00"/>
    <s v="Simple"/>
    <m/>
    <s v="2020 Markham Ravine p1"/>
    <s v="Partially Abandoned"/>
    <x v="0"/>
    <d v="2020-04-29T00:00:00"/>
    <d v="2020-05-07T00:00:00"/>
    <x v="18"/>
    <d v="2020-05-30T00:00:00"/>
    <d v="2020-06-11T00:00:00"/>
    <s v="ND"/>
    <s v="ND"/>
  </r>
  <r>
    <n v="7650"/>
    <x v="1"/>
    <s v="2020 Iron Point"/>
    <s v="2020 Iron Point"/>
    <d v="2020-04-19T00:00:00"/>
    <d v="2020-08-05T00:00:00"/>
    <s v="No Colony"/>
    <m/>
    <s v="2020 Iron Point p1"/>
    <s v="No Colony"/>
    <x v="0"/>
    <s v="ND"/>
    <s v="ND"/>
    <x v="4"/>
    <s v="ND"/>
    <s v="ND"/>
    <s v="ND"/>
    <s v="ND"/>
  </r>
  <r>
    <n v="7657"/>
    <x v="6"/>
    <s v="2020 Conaway Ranch"/>
    <s v="2020 Conaway Ranch"/>
    <d v="2020-05-18T00:00:00"/>
    <d v="2020-07-10T00:00:00"/>
    <s v="Simple"/>
    <m/>
    <s v="2020 Conaway Ranch p1"/>
    <s v="Successful"/>
    <x v="0"/>
    <s v="pre"/>
    <d v="2020-05-25T00:00:00"/>
    <x v="19"/>
    <d v="2020-06-18T00:00:00"/>
    <d v="2020-07-05T00:00:00"/>
    <s v="ND"/>
    <s v="ND"/>
  </r>
  <r>
    <n v="11100"/>
    <x v="7"/>
    <s v="2021 Sedgwick"/>
    <s v="2021 Sedgwick"/>
    <d v="2021-03-06T00:00:00"/>
    <d v="2021-05-06T00:00:00"/>
    <s v="Unknown"/>
    <m/>
    <s v="2021 Sedgwick p1"/>
    <s v="Unknown"/>
    <x v="0"/>
    <d v="2021-04-05T00:00:00"/>
    <d v="2021-04-16T00:00:00"/>
    <x v="20"/>
    <s v="post"/>
    <s v="post"/>
    <s v="ND"/>
    <s v="ND"/>
  </r>
  <r>
    <n v="11101"/>
    <x v="0"/>
    <s v="2021 Hay Landfill"/>
    <s v="2021 Hay Landfill"/>
    <d v="2021-02-02T00:00:00"/>
    <d v="2021-05-08T00:00:00"/>
    <s v="Unknown"/>
    <m/>
    <s v="2021 Hay Landfill p1"/>
    <s v="Unknown"/>
    <x v="0"/>
    <d v="2021-03-31T00:00:00"/>
    <d v="2021-04-12T00:00:00"/>
    <x v="21"/>
    <s v="post"/>
    <s v="post"/>
    <s v="ND"/>
    <s v="ND"/>
  </r>
  <r>
    <n v="18572"/>
    <x v="8"/>
    <s v="2020 Ohlone - Santa Lucia Preserve"/>
    <s v="2020 Ohlone"/>
    <d v="2020-03-25T00:00:00"/>
    <d v="2020-07-18T00:00:00"/>
    <s v="Simple"/>
    <m/>
    <s v="2020 Ohlone p1"/>
    <s v="Successful"/>
    <x v="0"/>
    <s v="ND"/>
    <d v="2020-04-22T00:00:00"/>
    <x v="22"/>
    <d v="2020-05-12T00:00:00"/>
    <d v="2020-06-14T00:00:00"/>
    <s v="ND"/>
    <s v="ND"/>
  </r>
  <r>
    <n v="21537"/>
    <x v="6"/>
    <s v="2021 Plumas Arboga"/>
    <s v="2021 Plumas Arboga"/>
    <d v="2021-05-14T00:00:00"/>
    <d v="2021-06-04T00:00:00"/>
    <s v="Unknown"/>
    <m/>
    <s v="2021 Plumas Arboga p1"/>
    <s v="Unknown"/>
    <x v="0"/>
    <s v="pre"/>
    <d v="2021-05-14T00:00:00"/>
    <x v="23"/>
    <s v="post"/>
    <s v="post"/>
    <s v="ND"/>
    <s v="ND"/>
  </r>
  <r>
    <n v="21668"/>
    <x v="6"/>
    <s v="2021 Foley Ranch"/>
    <s v="2021 Foley Ranch"/>
    <d v="2021-05-04T00:00:00"/>
    <d v="2021-06-14T00:00:00"/>
    <s v="Multiple"/>
    <m/>
    <s v="2021 Foley Ranch p1"/>
    <s v="Successful"/>
    <x v="0"/>
    <s v="pre"/>
    <d v="2021-04-30T00:00:00"/>
    <x v="24"/>
    <d v="2021-05-24T00:00:00"/>
    <d v="2021-06-12T00:00:00"/>
    <s v="ND"/>
    <s v="ND"/>
  </r>
  <r>
    <n v="21668"/>
    <x v="6"/>
    <s v="2021 Foley Ranch"/>
    <s v="2021 Foley Ranch"/>
    <d v="2021-05-04T00:00:00"/>
    <d v="2021-06-14T00:00:00"/>
    <s v="Multiple"/>
    <m/>
    <s v="2021 Foley Ranch p2"/>
    <s v="Unknown"/>
    <x v="1"/>
    <d v="2021-05-23T00:00:00"/>
    <d v="2021-05-31T00:00:00"/>
    <x v="25"/>
    <s v="post"/>
    <s v="post"/>
    <s v="ND"/>
    <s v="ND"/>
  </r>
  <r>
    <n v="21681"/>
    <x v="0"/>
    <s v="2021 Creed Road"/>
    <s v="2021 Denverton Creek"/>
    <d v="2021-02-02T00:00:00"/>
    <d v="2021-05-12T00:00:00"/>
    <s v="No Colony"/>
    <m/>
    <s v="2021 Denverton Creek p1"/>
    <s v="No Colony"/>
    <x v="0"/>
    <s v="ND"/>
    <s v="ND"/>
    <x v="4"/>
    <s v="ND"/>
    <s v="ND"/>
    <s v="ND"/>
    <s v="ND"/>
  </r>
  <r>
    <n v="21688"/>
    <x v="6"/>
    <s v="2021 Hale Road 2"/>
    <s v="2021 Hale Road 2"/>
    <d v="2021-05-04T00:00:00"/>
    <d v="2021-06-14T00:00:00"/>
    <s v="Simple"/>
    <m/>
    <s v="2021 Hale Road 2 p1"/>
    <s v="Successful"/>
    <x v="0"/>
    <s v="pre"/>
    <d v="2021-05-02T00:00:00"/>
    <x v="26"/>
    <d v="2021-05-28T00:00:00"/>
    <d v="2021-06-03T00:00:00"/>
    <s v="ND"/>
    <s v="ND"/>
  </r>
  <r>
    <n v="24119"/>
    <x v="9"/>
    <s v="2021 Rancho Jamul"/>
    <s v="2021 Rancho Jamul"/>
    <d v="2021-03-19T00:00:00"/>
    <d v="2021-06-05T00:00:00"/>
    <s v="Simple"/>
    <m/>
    <s v="2021 Rancho Jamul p1"/>
    <s v="Successful"/>
    <x v="0"/>
    <s v="pre"/>
    <d v="2021-04-27T00:00:00"/>
    <x v="27"/>
    <d v="2021-05-18T00:00:00"/>
    <d v="2021-05-27T00:00:00"/>
    <s v="ND"/>
    <s v="ND"/>
  </r>
  <r>
    <n v="24122"/>
    <x v="10"/>
    <s v="2021 Dagnino Pond"/>
    <s v="2021 Dagnino Pond"/>
    <d v="2021-04-29T00:00:00"/>
    <d v="2021-07-12T00:00:00"/>
    <s v="No Colony"/>
    <m/>
    <s v="2021 Dagnino Pond p1"/>
    <s v="No Colony"/>
    <x v="0"/>
    <s v="ND"/>
    <s v="ND"/>
    <x v="4"/>
    <s v="ND"/>
    <s v="ND"/>
    <s v="ND"/>
    <s v="ND"/>
  </r>
  <r>
    <n v="24130"/>
    <x v="5"/>
    <s v="2021 Colusa NWR 27-1"/>
    <s v="2021 Colusa NWR T27.1"/>
    <d v="2021-04-21T00:00:00"/>
    <d v="2021-06-26T00:00:00"/>
    <s v="Simple"/>
    <m/>
    <s v="2021 Colusa NWR T27.1 p1"/>
    <s v="Successful"/>
    <x v="0"/>
    <d v="2021-05-11T00:00:00"/>
    <d v="2021-05-23T00:00:00"/>
    <x v="28"/>
    <s v="ND"/>
    <d v="2021-06-18T00:00:00"/>
    <s v="ND"/>
    <s v="ND"/>
  </r>
  <r>
    <n v="24221"/>
    <x v="5"/>
    <s v="2021 Colusa NWR 27-2"/>
    <s v="2021 Colusa NWR T27.2"/>
    <d v="2021-04-21T00:00:00"/>
    <d v="2021-06-21T00:00:00"/>
    <s v="Unknown"/>
    <m/>
    <s v="2021 Colusa NWR T27.2 p1"/>
    <s v="Unknown"/>
    <x v="0"/>
    <d v="2021-05-18T00:00:00"/>
    <d v="2021-06-03T00:00:00"/>
    <x v="29"/>
    <s v="post"/>
    <s v="post"/>
    <s v="ND"/>
    <s v="ND"/>
  </r>
  <r>
    <n v="24231"/>
    <x v="2"/>
    <s v="2021 Rodeo Grounds 1"/>
    <s v="2021 Rodeo Grounds"/>
    <d v="2021-04-19T00:00:00"/>
    <d v="2021-06-13T00:00:00"/>
    <s v="Simple"/>
    <m/>
    <s v="2021 Rodeo Grounds p1"/>
    <s v="Successful"/>
    <x v="0"/>
    <s v="pre"/>
    <d v="2021-04-20T00:00:00"/>
    <x v="30"/>
    <d v="2021-05-12T00:00:00"/>
    <d v="2021-05-14T00:00:00"/>
    <s v="ND"/>
    <s v="ND"/>
  </r>
  <r>
    <n v="24232"/>
    <x v="10"/>
    <s v="2021 Panoche Creek Preserve 2E"/>
    <s v="2021 Panoche Creek Preserve 2 East"/>
    <d v="2021-04-01T00:00:00"/>
    <d v="2021-07-14T00:00:00"/>
    <s v="Simple"/>
    <m/>
    <s v="2021 Panoche Creek Preserve 2 East p1"/>
    <s v="Successful"/>
    <x v="0"/>
    <d v="2021-04-07T00:00:00"/>
    <d v="2021-04-18T00:00:00"/>
    <x v="31"/>
    <d v="2021-05-18T00:00:00"/>
    <d v="2021-05-22T00:00:00"/>
    <s v="ND"/>
    <s v="ND"/>
  </r>
  <r>
    <n v="24233"/>
    <x v="10"/>
    <s v="2021 Panoche Creek Preserve 1W"/>
    <s v="2021 Panoche Creek Preserve 1 West"/>
    <d v="2021-04-01T00:00:00"/>
    <d v="2021-07-14T00:00:00"/>
    <s v="Simple"/>
    <m/>
    <s v="2021 Panoche Creek Preserve 1 West p1"/>
    <s v="Partially Abandoned"/>
    <x v="0"/>
    <d v="2021-04-07T00:00:00"/>
    <d v="2021-04-20T00:00:00"/>
    <x v="30"/>
    <d v="2021-05-23T00:00:00"/>
    <d v="2021-05-24T00:00:00"/>
    <s v="ND"/>
    <d v="2021-04-30T00:00:00"/>
  </r>
  <r>
    <n v="24252"/>
    <x v="2"/>
    <s v="2021 Orchard Creek"/>
    <s v="2021 Orchard Creek"/>
    <d v="2021-04-19T00:00:00"/>
    <d v="2021-07-04T00:00:00"/>
    <s v="Additions"/>
    <m/>
    <s v="2021 Orchard Creek p1"/>
    <s v="Successful"/>
    <x v="0"/>
    <s v="pre"/>
    <d v="2021-04-19T00:00:00"/>
    <x v="32"/>
    <d v="2021-05-15T00:00:00"/>
    <d v="2021-05-24T00:00:00"/>
    <s v="ND"/>
    <s v="ND"/>
  </r>
  <r>
    <n v="24252"/>
    <x v="2"/>
    <s v="2021 Orchard Creek"/>
    <s v="2021 Orchard Creek"/>
    <d v="2021-04-19T00:00:00"/>
    <d v="2021-07-04T00:00:00"/>
    <s v="Additions"/>
    <m/>
    <s v="2021 Orchard Creek p2"/>
    <s v="Successful"/>
    <x v="1"/>
    <d v="2021-05-04T00:00:00"/>
    <d v="2021-05-12T00:00:00"/>
    <x v="33"/>
    <d v="2021-06-03T00:00:00"/>
    <d v="2021-06-17T00:00:00"/>
    <s v="ND"/>
    <s v="ND"/>
  </r>
  <r>
    <n v="24263"/>
    <x v="10"/>
    <s v="2021 Willey Wetlands 3"/>
    <s v="2021 Willey Wetlands 3"/>
    <d v="2021-06-10T00:00:00"/>
    <d v="2021-08-15T00:00:00"/>
    <s v="Simple"/>
    <m/>
    <s v="2021 Willey Wetlands 3 p1"/>
    <s v="Successful"/>
    <x v="0"/>
    <s v="pre"/>
    <s v="pre"/>
    <x v="7"/>
    <d v="2021-06-24T00:00:00"/>
    <d v="2021-07-08T00:00:00"/>
    <s v="ND"/>
    <s v="ND"/>
  </r>
  <r>
    <n v="24544"/>
    <x v="11"/>
    <s v="2021 Kern 2"/>
    <s v="2021 Kern 2"/>
    <d v="2021-04-06T00:00:00"/>
    <d v="2021-07-30T00:00:00"/>
    <s v="No Colony"/>
    <m/>
    <s v="2021 Kern 2 p1"/>
    <s v="No Colony"/>
    <x v="0"/>
    <s v="ND"/>
    <s v="ND"/>
    <x v="4"/>
    <s v="ND"/>
    <s v="ND"/>
    <s v="ND"/>
    <s v="ND"/>
  </r>
  <r>
    <n v="24549"/>
    <x v="0"/>
    <s v="2021 Rush Ranch"/>
    <s v="2021 Rush Ranch"/>
    <d v="2021-02-02T00:00:00"/>
    <d v="2021-05-13T00:00:00"/>
    <s v="No Colony"/>
    <m/>
    <s v="2021 Rush Ranch p1"/>
    <s v="No Colony"/>
    <x v="0"/>
    <s v="ND"/>
    <s v="ND"/>
    <x v="4"/>
    <s v="ND"/>
    <s v="ND"/>
    <s v="ND"/>
    <s v="ND"/>
  </r>
  <r>
    <n v="24606"/>
    <x v="11"/>
    <s v="2021 Kern 1"/>
    <s v="2021 Kern 1"/>
    <d v="2021-04-09T00:00:00"/>
    <d v="2021-08-05T00:00:00"/>
    <s v="Simple"/>
    <m/>
    <s v="2021 Kern 1 p1"/>
    <s v="Successful"/>
    <x v="0"/>
    <d v="2021-04-29T00:00:00"/>
    <d v="2021-05-19T00:00:00"/>
    <x v="34"/>
    <s v="ND"/>
    <d v="2021-06-23T00:00:00"/>
    <s v="ND"/>
    <s v="ND"/>
  </r>
  <r>
    <n v="24641"/>
    <x v="11"/>
    <s v="2021 Kern 3"/>
    <s v="2021 Kern 3"/>
    <d v="2021-04-06T00:00:00"/>
    <d v="2021-08-05T00:00:00"/>
    <s v="No Colony"/>
    <m/>
    <s v="2021 Kern 3 p1"/>
    <s v="No Colony"/>
    <x v="0"/>
    <s v="ND"/>
    <s v="ND"/>
    <x v="4"/>
    <s v="ND"/>
    <s v="ND"/>
    <s v="ND"/>
    <s v="ND"/>
  </r>
  <r>
    <n v="24652"/>
    <x v="6"/>
    <s v="2021 Conaway South"/>
    <s v="2021 Conaway South"/>
    <d v="2021-05-20T00:00:00"/>
    <d v="2021-07-05T00:00:00"/>
    <s v="Simple"/>
    <m/>
    <s v="2021 Conaway South p1"/>
    <s v="Successful"/>
    <x v="0"/>
    <d v="2021-05-21T00:00:00"/>
    <d v="2021-05-29T00:00:00"/>
    <x v="35"/>
    <d v="2021-06-23T00:00:00"/>
    <d v="2021-06-29T00:00:00"/>
    <s v="ND"/>
    <s v="ND"/>
  </r>
  <r>
    <n v="24653"/>
    <x v="6"/>
    <s v="2021 Reeds Creek South"/>
    <s v="2021 Reeds Creek South"/>
    <d v="2021-05-04T00:00:00"/>
    <d v="2021-05-20T00:00:00"/>
    <s v="Unknown"/>
    <m/>
    <s v="2021 Reeds Creek South p1"/>
    <s v="Unknown"/>
    <x v="0"/>
    <s v="pre"/>
    <d v="2021-05-06T00:00:00"/>
    <x v="36"/>
    <s v="post"/>
    <s v="post"/>
    <s v="ND"/>
    <s v="ND"/>
  </r>
  <r>
    <n v="24655"/>
    <x v="11"/>
    <s v="2021 Kern 4"/>
    <s v="2021 Kern 4"/>
    <d v="2021-04-19T00:00:00"/>
    <d v="2021-08-10T00:00:00"/>
    <s v="Simple"/>
    <m/>
    <s v="2021 Kern 4 p1"/>
    <s v="Partially Abandoned"/>
    <x v="0"/>
    <d v="2021-04-27T00:00:00"/>
    <d v="2021-04-26T00:00:00"/>
    <x v="37"/>
    <d v="2021-05-27T00:00:00"/>
    <d v="2021-06-11T00:00:00"/>
    <s v="ND"/>
    <d v="2021-05-07T00:00:00"/>
  </r>
  <r>
    <n v="24658"/>
    <x v="1"/>
    <s v="2021 Iron Point"/>
    <s v="2021 Iron Point"/>
    <d v="2021-02-02T00:00:00"/>
    <d v="2021-05-14T00:00:00"/>
    <s v="Unknown"/>
    <m/>
    <s v="2021 Iron Point p1"/>
    <s v="Abandoned"/>
    <x v="0"/>
    <d v="2021-04-03T00:00:00"/>
    <s v="ND"/>
    <x v="4"/>
    <s v="ND"/>
    <s v="ND"/>
    <d v="2021-04-22T00:00:00"/>
    <s v="ND"/>
  </r>
  <r>
    <n v="24790"/>
    <x v="12"/>
    <s v="2021 Wind Wolves Preserve"/>
    <s v="2021 Wind Wolves Preserve"/>
    <d v="2021-04-14T00:00:00"/>
    <d v="2021-07-20T00:00:00"/>
    <s v="Simple"/>
    <m/>
    <s v="2021 Wind Wolves Preserve p1"/>
    <s v="Successful"/>
    <x v="0"/>
    <d v="2021-04-23T00:00:00"/>
    <d v="2021-05-02T00:00:00"/>
    <x v="26"/>
    <d v="2021-05-28T00:00:00"/>
    <d v="2021-06-06T00:00:00"/>
    <s v="ND"/>
    <s v="ND"/>
  </r>
  <r>
    <n v="25171"/>
    <x v="4"/>
    <s v="2021 SJWA"/>
    <s v="2021 San Jacinto Wildlife Area"/>
    <d v="2021-06-02T00:00:00"/>
    <d v="2021-06-30T00:00:00"/>
    <s v="Unknown"/>
    <m/>
    <s v="2021 San Jacinto Wildlife Area p1"/>
    <s v="Abandoned"/>
    <x v="0"/>
    <s v="pre"/>
    <d v="2021-06-03T00:00:00"/>
    <x v="29"/>
    <s v="ND"/>
    <s v="ND"/>
    <d v="2021-06-23T00:00:00"/>
    <s v="ND"/>
  </r>
  <r>
    <n v="26432"/>
    <x v="3"/>
    <s v="2021 Markham Ravine"/>
    <s v="2021 Markham Ravine"/>
    <d v="2021-04-30T00:00:00"/>
    <d v="2021-06-23T00:00:00"/>
    <s v="No Birds"/>
    <m/>
    <s v="2021 Markham Ravine p1"/>
    <s v="No Birds"/>
    <x v="0"/>
    <s v="ND"/>
    <s v="ND"/>
    <x v="4"/>
    <s v="ND"/>
    <s v="ND"/>
    <s v="ND"/>
    <s v="ND"/>
  </r>
  <r>
    <n v="26534"/>
    <x v="11"/>
    <s v="2021 Kern 5"/>
    <s v="2021 Kern 5"/>
    <d v="2021-04-27T00:00:00"/>
    <d v="2021-08-17T00:00:00"/>
    <s v="Complex"/>
    <s v="Asynchronous, Multiple"/>
    <s v="2021 Kern 5 p1"/>
    <s v="Successful"/>
    <x v="0"/>
    <s v="pre"/>
    <d v="2021-04-18T00:00:00"/>
    <x v="31"/>
    <d v="2021-05-18T00:00:00"/>
    <d v="2021-06-01T00:00:00"/>
    <s v="ND"/>
    <s v="ND"/>
  </r>
  <r>
    <n v="26534"/>
    <x v="11"/>
    <s v="2021 Kern 5"/>
    <s v="2021 Kern 5"/>
    <d v="2021-04-27T00:00:00"/>
    <d v="2021-08-17T00:00:00"/>
    <s v="Complex"/>
    <s v="Asynchronous, Multiple"/>
    <s v="2021 Kern 5 p2"/>
    <s v="Successful"/>
    <x v="1"/>
    <s v="ND"/>
    <d v="2021-05-16T00:00:00"/>
    <x v="38"/>
    <d v="2021-06-09T00:00:00"/>
    <d v="2021-06-16T00:00:00"/>
    <s v="ND"/>
    <s v="ND"/>
  </r>
  <r>
    <n v="26535"/>
    <x v="11"/>
    <s v="2021 Kern 6"/>
    <s v="2021 Kern 6"/>
    <d v="2021-05-01T00:00:00"/>
    <d v="2021-08-21T00:00:00"/>
    <s v="No Birds"/>
    <m/>
    <s v="2021 Kern 6 p1"/>
    <s v="No Birds"/>
    <x v="0"/>
    <s v="ND"/>
    <s v="ND"/>
    <x v="4"/>
    <s v="ND"/>
    <s v="ND"/>
    <s v="ND"/>
    <s v="ND"/>
  </r>
  <r>
    <n v="26536"/>
    <x v="11"/>
    <s v="2021 Kern 7"/>
    <s v="2021 Kern 7"/>
    <d v="2021-05-17T00:00:00"/>
    <d v="2021-09-01T00:00:00"/>
    <s v="Unknown"/>
    <m/>
    <s v="2021 Kern 7 p1"/>
    <s v="Abandoned"/>
    <x v="0"/>
    <s v="pre"/>
    <d v="2021-05-19T00:00:00"/>
    <x v="34"/>
    <s v="ND"/>
    <s v="ND"/>
    <d v="2021-06-05T00:00:00"/>
    <s v="ND"/>
  </r>
  <r>
    <n v="33845"/>
    <x v="13"/>
    <s v="2022 WA1"/>
    <s v="2022 Washington State - McCain Wetands"/>
    <d v="2022-05-27T00:00:00"/>
    <d v="2022-08-01T00:00:00"/>
    <s v="Unknown"/>
    <m/>
    <s v="2022 Washington State - McCain Wetands p1"/>
    <s v="Successful"/>
    <x v="0"/>
    <s v="pre"/>
    <s v="pre"/>
    <x v="7"/>
    <s v="pre"/>
    <d v="2022-05-30T00:00:00"/>
    <s v="ND"/>
    <s v="ND"/>
  </r>
  <r>
    <n v="33851"/>
    <x v="14"/>
    <s v="2022 OR1"/>
    <s v="2022 Oregon 1"/>
    <d v="2022-04-18T00:00:00"/>
    <d v="2022-06-09T00:00:00"/>
    <s v="No Colony"/>
    <m/>
    <s v="2022 Oregon 1 p1"/>
    <s v="No Colony"/>
    <x v="0"/>
    <s v="ND"/>
    <s v="ND"/>
    <x v="4"/>
    <s v="ND"/>
    <s v="ND"/>
    <s v="ND"/>
    <s v="ND"/>
  </r>
  <r>
    <n v="33966"/>
    <x v="0"/>
    <s v="2022 Hay Landfill"/>
    <s v="2022 Hay Landfill"/>
    <d v="2022-02-13T00:00:00"/>
    <d v="2022-09-09T00:00:00"/>
    <s v="Multiple"/>
    <m/>
    <s v="2022 Hay Landfill p1"/>
    <s v="Successful"/>
    <x v="0"/>
    <d v="2022-02-17T00:00:00"/>
    <d v="2022-03-31T00:00:00"/>
    <x v="39"/>
    <d v="2022-04-27T00:00:00"/>
    <d v="2022-05-18T00:00:00"/>
    <s v="ND"/>
    <s v="ND"/>
  </r>
  <r>
    <n v="33966"/>
    <x v="0"/>
    <s v="2022 Hay Landfill"/>
    <s v="2022 Hay Landfill"/>
    <d v="2022-02-13T00:00:00"/>
    <d v="2022-09-09T00:00:00"/>
    <s v="Multiple"/>
    <m/>
    <s v="2022 Hay Landfill p2"/>
    <s v="Successful"/>
    <x v="1"/>
    <d v="2022-04-20T00:00:00"/>
    <d v="2022-05-05T00:00:00"/>
    <x v="40"/>
    <d v="2022-05-31T00:00:00"/>
    <d v="2022-06-26T00:00:00"/>
    <s v="ND"/>
    <s v="ND"/>
  </r>
  <r>
    <n v="33984"/>
    <x v="13"/>
    <s v="2022 WA Harder Spring"/>
    <s v="2022 Washington State - Harder Spring"/>
    <d v="2022-03-18T00:00:00"/>
    <d v="2022-07-13T00:00:00"/>
    <s v="Additions"/>
    <m/>
    <s v="2022 Washington State - Harder Spring p1"/>
    <s v="Successful"/>
    <x v="0"/>
    <d v="2022-05-01T00:00:00"/>
    <d v="2022-05-05T00:00:00"/>
    <x v="40"/>
    <d v="2022-05-30T00:00:00"/>
    <d v="2022-06-10T00:00:00"/>
    <s v="ND"/>
    <s v="ND"/>
  </r>
  <r>
    <n v="33984"/>
    <x v="13"/>
    <s v="2022 WA Harder Spring"/>
    <s v="2022 Washington State - Harder Spring"/>
    <d v="2022-03-18T00:00:00"/>
    <d v="2022-07-13T00:00:00"/>
    <s v="Additions"/>
    <m/>
    <s v="2022 Washington State - Harder Spring p2"/>
    <s v="Successful"/>
    <x v="1"/>
    <d v="2022-05-18T00:00:00"/>
    <d v="2022-05-26T00:00:00"/>
    <x v="41"/>
    <d v="2022-06-16T00:00:00"/>
    <d v="2022-06-21T00:00:00"/>
    <s v="ND"/>
    <s v="ND"/>
  </r>
  <r>
    <n v="33985"/>
    <x v="7"/>
    <s v="2022 Sedgwick"/>
    <s v="2022 Sedgwick"/>
    <d v="2022-03-20T00:00:00"/>
    <d v="2022-07-12T00:00:00"/>
    <s v="Multiple"/>
    <m/>
    <s v="2022 Sedgwick p1"/>
    <s v="Successful"/>
    <x v="0"/>
    <s v="pre"/>
    <d v="2022-04-02T00:00:00"/>
    <x v="42"/>
    <d v="2022-04-26T00:00:00"/>
    <d v="2022-05-05T00:00:00"/>
    <s v="ND"/>
    <s v="ND"/>
  </r>
  <r>
    <n v="33985"/>
    <x v="7"/>
    <s v="2022 Sedgwick"/>
    <s v="2022 Sedgwick"/>
    <d v="2022-03-20T00:00:00"/>
    <d v="2022-07-12T00:00:00"/>
    <s v="Multiple"/>
    <m/>
    <s v="2022 Sedgwick p2"/>
    <s v="Successful"/>
    <x v="1"/>
    <d v="2022-05-01T00:00:00"/>
    <d v="2022-05-10T00:00:00"/>
    <x v="43"/>
    <d v="2022-06-03T00:00:00"/>
    <d v="2022-06-12T00:00:00"/>
    <s v="ND"/>
    <s v="ND"/>
  </r>
  <r>
    <n v="34012"/>
    <x v="6"/>
    <s v="2022 Plumas Arboga East"/>
    <s v="2022 Plumas Arboga East"/>
    <d v="2022-05-04T00:00:00"/>
    <d v="2022-06-28T00:00:00"/>
    <s v="Complex"/>
    <s v="Asynchronous, Multiple"/>
    <s v="2022 Plumas Arboga East p1"/>
    <s v="Successful"/>
    <x v="0"/>
    <s v="pre"/>
    <s v="pre"/>
    <x v="7"/>
    <d v="2022-05-12T00:00:00"/>
    <d v="2022-06-21T00:00:00"/>
    <s v="ND"/>
    <s v="ND"/>
  </r>
  <r>
    <n v="34012"/>
    <x v="6"/>
    <s v="2022 Plumas Arboga East"/>
    <s v="2022 Plumas Arboga East"/>
    <d v="2022-05-04T00:00:00"/>
    <d v="2022-06-28T00:00:00"/>
    <s v="Complex"/>
    <s v="Asynchronous, Multiple"/>
    <s v="2022 Plumas Arboga East p2"/>
    <s v="Successful"/>
    <x v="1"/>
    <s v="ND"/>
    <d v="2022-05-10T00:00:00"/>
    <x v="43"/>
    <s v="6/62022"/>
    <s v="post"/>
    <s v="ND"/>
    <s v="ND"/>
  </r>
  <r>
    <n v="34044"/>
    <x v="5"/>
    <s v="2022 Colusa NWR T27.1"/>
    <s v="2022 Colusa NWR T27.1"/>
    <d v="2022-04-18T00:00:00"/>
    <d v="2022-08-04T00:00:00"/>
    <s v="No Birds"/>
    <m/>
    <s v="2022 Colusa NWR T27.1 p1"/>
    <s v="No Birds"/>
    <x v="0"/>
    <s v="ND"/>
    <s v="ND"/>
    <x v="4"/>
    <s v="ND"/>
    <s v="ND"/>
    <s v="ND"/>
    <s v="ND"/>
  </r>
  <r>
    <n v="34045"/>
    <x v="9"/>
    <s v="2022 Rancho Jamul"/>
    <s v="2022 Rancho Jamul"/>
    <d v="2022-03-02T00:00:00"/>
    <d v="2022-07-02T00:00:00"/>
    <s v="Asynchronous"/>
    <m/>
    <s v="2022 Rancho Jamul p1"/>
    <s v="Successful"/>
    <x v="0"/>
    <d v="2022-03-20T00:00:00"/>
    <d v="2022-04-01T00:00:00"/>
    <x v="44"/>
    <d v="2022-04-27T00:00:00"/>
    <d v="2022-06-29T00:00:00"/>
    <s v="ND"/>
    <s v="ND"/>
  </r>
  <r>
    <n v="34046"/>
    <x v="4"/>
    <s v="2022 SJWA"/>
    <s v="2022 San Jacinto Wildlife Area"/>
    <d v="2022-05-10T00:00:00"/>
    <d v="2022-06-27T00:00:00"/>
    <s v="Asynchronous"/>
    <m/>
    <s v="2022 San Jacinto Wildlife Area p1"/>
    <s v="Successful"/>
    <x v="0"/>
    <s v="pre"/>
    <d v="2022-05-14T00:00:00"/>
    <x v="45"/>
    <d v="2022-06-11T00:00:00"/>
    <d v="2022-06-23T00:00:00"/>
    <s v="ND"/>
    <s v="ND"/>
  </r>
  <r>
    <n v="34071"/>
    <x v="10"/>
    <s v="2022 Paicines Ranch - Teal Pond"/>
    <s v="2022 Paicines Ranch - Teal Pond"/>
    <d v="2022-04-10T00:00:00"/>
    <d v="2022-08-06T00:00:00"/>
    <s v="Simple"/>
    <m/>
    <s v="2022 Paicines Ranch - Teal Pond p1"/>
    <s v="Successful"/>
    <x v="0"/>
    <s v="pre"/>
    <d v="2022-04-10T00:00:00"/>
    <x v="46"/>
    <d v="2022-05-08T00:00:00"/>
    <d v="2022-05-26T00:00:00"/>
    <s v="ND"/>
    <s v="ND"/>
  </r>
  <r>
    <n v="34073"/>
    <x v="14"/>
    <s v="2022 OR2"/>
    <s v="2022 Oregon 2"/>
    <d v="2022-04-24T00:00:00"/>
    <d v="2022-06-03T00:00:00"/>
    <s v="Asynchronous"/>
    <m/>
    <s v="2022 Oregon 2 p1"/>
    <s v="Successful"/>
    <x v="0"/>
    <s v="ND"/>
    <d v="2022-05-04T00:00:00"/>
    <x v="47"/>
    <d v="2022-05-30T00:00:00"/>
    <s v="post"/>
    <s v="ND"/>
    <s v="ND"/>
  </r>
  <r>
    <n v="34075"/>
    <x v="15"/>
    <s v="2022 Newberry Springs - Lake Wainani"/>
    <s v="2022 Newberry Springs - Lake Wainani"/>
    <d v="2022-05-12T00:00:00"/>
    <d v="2022-05-20T00:00:00"/>
    <s v="Unknown"/>
    <m/>
    <s v="2022 Newberry Springs - Lake Wainani p1"/>
    <s v="Successful"/>
    <x v="0"/>
    <s v="pre"/>
    <m/>
    <x v="7"/>
    <s v="ND"/>
    <s v="post"/>
    <s v="ND"/>
    <s v="ND"/>
  </r>
  <r>
    <n v="34076"/>
    <x v="16"/>
    <s v="2022 Marsh Creek Reservoir"/>
    <s v="2022 Marsh Creek Reservoir"/>
    <d v="2022-04-15T00:00:00"/>
    <d v="2022-06-08T00:00:00"/>
    <s v="No Birds"/>
    <m/>
    <s v="2022 Marsh Creek Reservoir p1"/>
    <s v="No Birds"/>
    <x v="0"/>
    <s v="ND"/>
    <s v="ND"/>
    <x v="4"/>
    <s v="ND"/>
    <s v="ND"/>
    <s v="ND"/>
    <s v="ND"/>
  </r>
  <r>
    <n v="34077"/>
    <x v="8"/>
    <s v="2022 Laguna Seca"/>
    <s v="2022 Laguna Seca"/>
    <d v="2022-03-20T00:00:00"/>
    <d v="2022-07-11T00:00:00"/>
    <s v="Multiple"/>
    <m/>
    <s v="2022 Laguna Seca p1"/>
    <s v="Successful"/>
    <x v="0"/>
    <d v="2022-03-31T00:00:00"/>
    <d v="2022-04-03T00:00:00"/>
    <x v="48"/>
    <s v="ND"/>
    <s v="ND"/>
    <s v="ND"/>
    <s v="ND"/>
  </r>
  <r>
    <n v="34077"/>
    <x v="8"/>
    <s v="2022 Laguna Seca"/>
    <s v="2022 Laguna Seca"/>
    <d v="2022-03-20T00:00:00"/>
    <d v="2022-07-11T00:00:00"/>
    <s v="Multiple"/>
    <m/>
    <s v="2022 Laguna Seca p2"/>
    <s v="Successful"/>
    <x v="1"/>
    <d v="2022-05-03T00:00:00"/>
    <d v="2022-05-13T00:00:00"/>
    <x v="49"/>
    <s v="ND"/>
    <s v="ND"/>
    <s v="ND"/>
    <s v="ND"/>
  </r>
  <r>
    <n v="34078"/>
    <x v="0"/>
    <s v="2022 Creed Road"/>
    <s v="2022 Denverton Creek"/>
    <d v="2022-02-13T00:00:00"/>
    <d v="2022-08-20T00:00:00"/>
    <s v="Simple"/>
    <m/>
    <s v="2022 Denverton Creek p1"/>
    <s v="Successful"/>
    <x v="0"/>
    <d v="2022-03-27T00:00:00"/>
    <d v="2022-04-03T00:00:00"/>
    <x v="48"/>
    <d v="2022-04-29T00:00:00"/>
    <d v="2022-05-19T00:00:00"/>
    <s v="ND"/>
    <s v="ND"/>
  </r>
  <r>
    <n v="34079"/>
    <x v="5"/>
    <s v="2022 Colusa NWR T27.2"/>
    <s v="2022 Colusa NWR T27.2"/>
    <d v="2022-04-18T00:00:00"/>
    <d v="2022-08-04T00:00:00"/>
    <s v="Simple"/>
    <m/>
    <s v="2022 Colusa NWR T27.2 p1"/>
    <s v="Successful"/>
    <x v="0"/>
    <s v="ND"/>
    <d v="2022-05-19T00:00:00"/>
    <x v="50"/>
    <d v="2022-06-13T00:00:00"/>
    <d v="2022-06-19T00:00:00"/>
    <s v="ND"/>
    <s v="ND"/>
  </r>
  <r>
    <n v="34087"/>
    <x v="12"/>
    <s v="2022 Wind Wolves Preserve Santiago Wetlands"/>
    <s v="2022 Wind Wolves Preserve Santiago Wetlands"/>
    <d v="2022-02-23T00:00:00"/>
    <d v="2022-08-17T00:00:00"/>
    <s v="Asynchronous"/>
    <m/>
    <s v="2022 Wind Wolves Preserve Santiago Wetlands p1"/>
    <s v="Successful"/>
    <x v="0"/>
    <d v="2022-03-07T00:00:00"/>
    <d v="2022-04-08T00:00:00"/>
    <x v="51"/>
    <d v="2022-05-02T00:00:00"/>
    <d v="2022-06-02T00:00:00"/>
    <s v="ND"/>
    <s v="ND"/>
  </r>
  <r>
    <n v="34088"/>
    <x v="12"/>
    <s v="2022 Wind Wolves Preserve Pleitito Creek"/>
    <s v="2022 Wind Wolves Preserve Pleitito Creek"/>
    <d v="2022-03-11T00:00:00"/>
    <d v="2022-05-26T00:00:00"/>
    <s v="No Colony"/>
    <m/>
    <s v="2022 Wind Wolves Preserve Pleitito Creek p1"/>
    <s v="No Colony"/>
    <x v="0"/>
    <s v="ND"/>
    <s v="ND"/>
    <x v="4"/>
    <s v="ND"/>
    <s v="ND"/>
    <s v="ND"/>
    <s v="ND"/>
  </r>
  <r>
    <n v="34090"/>
    <x v="8"/>
    <s v="2022 Ohlone - Santa Lucia Preserve"/>
    <s v="2022 Ohlone"/>
    <d v="2022-03-21T00:00:00"/>
    <d v="2022-08-16T00:00:00"/>
    <s v="Asynchronous"/>
    <m/>
    <s v="2022 Ohlone p1"/>
    <s v="Successful"/>
    <x v="0"/>
    <d v="2022-04-13T00:00:00"/>
    <d v="2022-04-20T00:00:00"/>
    <x v="52"/>
    <d v="2022-05-20T00:00:00"/>
    <d v="2022-06-17T00:00:00"/>
    <s v="ND"/>
    <s v="ND"/>
  </r>
  <r>
    <n v="34111"/>
    <x v="6"/>
    <s v="2022 Conaway New Easement Pond West"/>
    <s v="2022 Conaway New Easement Pond West"/>
    <d v="2022-05-11T00:00:00"/>
    <d v="2022-06-13T00:00:00"/>
    <s v="No Birds"/>
    <m/>
    <s v="2022 Conaway New Easement Pond West p1"/>
    <s v="No Birds"/>
    <x v="0"/>
    <s v="ND"/>
    <s v="ND"/>
    <x v="4"/>
    <s v="ND"/>
    <s v="ND"/>
    <s v="ND"/>
    <s v="ND"/>
  </r>
  <r>
    <n v="34112"/>
    <x v="6"/>
    <s v="2022 Conaway North"/>
    <s v="2022 Conaway North"/>
    <d v="2022-05-04T00:00:00"/>
    <d v="2022-06-28T00:00:00"/>
    <s v="Simple"/>
    <m/>
    <s v="2022 Conaway North p1"/>
    <s v="Successful"/>
    <x v="0"/>
    <s v="pre"/>
    <d v="2022-05-09T00:00:00"/>
    <x v="53"/>
    <d v="2022-06-01T00:00:00"/>
    <d v="2022-06-12T00:00:00"/>
    <s v="ND"/>
    <s v="ND"/>
  </r>
  <r>
    <n v="34115"/>
    <x v="6"/>
    <s v="2022 Conaway East"/>
    <s v="2022 Conaway East"/>
    <d v="2022-05-09T00:00:00"/>
    <d v="2022-06-28T00:00:00"/>
    <s v="Simple"/>
    <m/>
    <s v="2022 Conaway East p1"/>
    <s v="Partially Abandoned"/>
    <x v="0"/>
    <s v="pre"/>
    <d v="2022-05-11T00:00:00"/>
    <x v="54"/>
    <d v="2022-06-07T00:00:00"/>
    <d v="2022-06-16T00:00:00"/>
    <s v="ND"/>
    <d v="2022-05-20T00:00:00"/>
  </r>
  <r>
    <n v="34117"/>
    <x v="16"/>
    <s v="2022 Los Vaqueros Reservoir"/>
    <s v="2022 Los Vaqueros Reservoir"/>
    <d v="2022-04-15T00:00:00"/>
    <d v="2022-06-08T00:00:00"/>
    <s v="Unknown"/>
    <m/>
    <s v="2022 Los Vaqueros Reservoir p1"/>
    <s v="Successful"/>
    <x v="0"/>
    <s v="pre"/>
    <d v="2022-04-07T00:00:00"/>
    <x v="55"/>
    <d v="2022-04-28T00:00:00"/>
    <d v="2022-05-20T00:00:00"/>
    <s v="ND"/>
    <s v="ND"/>
  </r>
  <r>
    <n v="34118"/>
    <x v="6"/>
    <s v="2022 Foley Ranch A"/>
    <s v="2022 Foley Ranch A"/>
    <d v="2022-04-24T00:00:00"/>
    <d v="2022-06-06T00:00:00"/>
    <s v="No Colony"/>
    <m/>
    <s v="2022 Foley Ranch A p1"/>
    <s v="No Colony"/>
    <x v="0"/>
    <s v="ND"/>
    <s v="ND"/>
    <x v="4"/>
    <s v="ND"/>
    <s v="ND"/>
    <s v="ND"/>
    <s v="ND"/>
  </r>
  <r>
    <n v="34130"/>
    <x v="10"/>
    <s v="2022 Panoche Creek Preserve Loc5"/>
    <s v="2022 Panoche Creek Preserve Location 5"/>
    <d v="2022-04-14T00:00:00"/>
    <d v="2022-06-23T00:00:00"/>
    <s v="Simple"/>
    <m/>
    <s v="2022 Panoche Creek Preserve Location 5 p1"/>
    <s v="Successful"/>
    <x v="0"/>
    <s v="pre"/>
    <d v="2022-04-08T00:00:00"/>
    <x v="51"/>
    <d v="2022-05-01T00:00:00"/>
    <d v="2022-05-15T00:00:00"/>
    <s v="ND"/>
    <s v="ND"/>
  </r>
  <r>
    <n v="34131"/>
    <x v="17"/>
    <s v="2022 Private Site 1 - not real lat lon"/>
    <s v="2022 Private Site 1 - approximate lat lon"/>
    <d v="2022-04-19T00:00:00"/>
    <d v="2022-06-03T00:00:00"/>
    <s v="Asynchronous"/>
    <m/>
    <s v="2022 Private Site 1 - approximate lat lon p1"/>
    <s v="Successful"/>
    <x v="0"/>
    <s v="pre"/>
    <d v="2022-04-18T00:00:00"/>
    <x v="56"/>
    <d v="2022-05-08T00:00:00"/>
    <d v="2022-05-26T00:00:00"/>
    <s v="ND"/>
    <s v="ND"/>
  </r>
  <r>
    <n v="34132"/>
    <x v="17"/>
    <s v="2022 Private Site 3 - not real lat lon"/>
    <s v="2022 Private Site 3 - approximate lat lon"/>
    <d v="2022-04-19T00:00:00"/>
    <d v="2022-06-03T00:00:00"/>
    <s v="Asynchronous"/>
    <m/>
    <s v="2022 Private Site 3 - approximate lat lon p1"/>
    <s v="Successful"/>
    <x v="0"/>
    <s v="pre"/>
    <s v="pre"/>
    <x v="7"/>
    <d v="2022-05-09T00:00:00"/>
    <d v="2022-05-25T00:00:00"/>
    <s v="ND"/>
    <s v="ND"/>
  </r>
  <r>
    <n v="34133"/>
    <x v="17"/>
    <s v="2022 Private Site 2 - not real lat lon"/>
    <s v="2022 Private Site 2 - approximate lat lon"/>
    <d v="2022-04-19T00:00:00"/>
    <d v="2022-05-02T00:00:00"/>
    <s v="Asynchronous"/>
    <m/>
    <s v="2022 Private Site 2 - approximate lat lon p1"/>
    <s v="Successful"/>
    <x v="0"/>
    <s v="pre"/>
    <s v="pre"/>
    <x v="7"/>
    <d v="2022-04-25T00:00:00"/>
    <s v="post"/>
    <s v="ND"/>
    <s v="ND"/>
  </r>
  <r>
    <n v="34485"/>
    <x v="18"/>
    <s v="2022 Baja 1"/>
    <s v="2022 Baja 1"/>
    <d v="2022-03-23T00:00:00"/>
    <d v="2022-07-12T00:00:00"/>
    <s v="Simple"/>
    <m/>
    <s v="2022 Baja 1 p1"/>
    <s v="Successful"/>
    <x v="0"/>
    <s v="pre"/>
    <d v="2022-04-02T00:00:00"/>
    <x v="42"/>
    <d v="2022-04-30T00:00:00"/>
    <d v="2022-05-17T00:00:00"/>
    <s v="ND"/>
    <s v="ND"/>
  </r>
  <r>
    <n v="48392"/>
    <x v="14"/>
    <s v="2023 OR Eureka Rd"/>
    <s v="2023 Oregon State - Eureka Rd"/>
    <d v="2023-04-29T00:00:00"/>
    <d v="2023-07-24T00:00:00"/>
    <s v="Asynchronous"/>
    <m/>
    <s v="2023 Oregon State - Eureka Rd p1"/>
    <s v="Successful"/>
    <x v="0"/>
    <s v="ND"/>
    <d v="2023-05-07T00:00:00"/>
    <x v="57"/>
    <d v="2023-05-30T00:00:00"/>
    <d v="2023-06-02T00:00:00"/>
    <s v="ND"/>
    <s v="ND"/>
  </r>
  <r>
    <n v="48393"/>
    <x v="13"/>
    <s v="2023 WA McCain Wetlands"/>
    <s v="2023 Washington State - McCain Wetlands"/>
    <d v="2023-04-10T00:00:00"/>
    <d v="2023-08-07T00:00:00"/>
    <s v="Simple"/>
    <m/>
    <s v="2023 Washington State - McCain Wetlands p1"/>
    <s v="Successful"/>
    <x v="0"/>
    <s v="ND"/>
    <d v="2023-05-03T00:00:00"/>
    <x v="58"/>
    <d v="2023-05-24T00:00:00"/>
    <d v="2023-05-27T00:00:00"/>
    <s v="ND"/>
    <s v="ND"/>
  </r>
  <r>
    <n v="48395"/>
    <x v="18"/>
    <s v="2023 Baja Rancho Cinega"/>
    <s v="2023 Baja Rancho Cinega"/>
    <d v="2023-04-14T00:00:00"/>
    <d v="2023-08-22T00:00:00"/>
    <s v="Multiple"/>
    <m/>
    <s v="2023 Baja Rancho Cinega p1"/>
    <s v="Successful"/>
    <x v="0"/>
    <s v="pre"/>
    <s v="pre"/>
    <x v="7"/>
    <d v="2023-04-28T00:00:00"/>
    <d v="2023-05-06T00:00:00"/>
    <s v="ND"/>
    <s v="ND"/>
  </r>
  <r>
    <n v="48395"/>
    <x v="18"/>
    <s v="2023 Baja Rancho Cinega"/>
    <s v="2023 Baja Rancho Cinega"/>
    <d v="2023-04-14T00:00:00"/>
    <d v="2023-08-22T00:00:00"/>
    <s v="Multiple"/>
    <m/>
    <s v="2023 Baja Rancho Cinega p2"/>
    <s v="Successful"/>
    <x v="1"/>
    <d v="2023-04-26T00:00:00"/>
    <s v="ND"/>
    <x v="4"/>
    <d v="2023-05-24T00:00:00"/>
    <d v="2023-06-05T00:00:00"/>
    <s v="ND"/>
    <s v="ND"/>
  </r>
  <r>
    <n v="48395"/>
    <x v="18"/>
    <s v="2023 Baja Rancho Cinega"/>
    <s v="2023 Baja Rancho Cinega"/>
    <d v="2023-04-14T00:00:00"/>
    <d v="2023-08-22T00:00:00"/>
    <s v="Multiple"/>
    <m/>
    <s v="2023 Baja Rancho Cinega p3"/>
    <s v="Successful"/>
    <x v="2"/>
    <d v="2023-05-22T00:00:00"/>
    <s v="ND"/>
    <x v="4"/>
    <d v="2023-06-21T00:00:00"/>
    <d v="2023-06-24T00:00:00"/>
    <s v="ND"/>
    <s v="ND"/>
  </r>
  <r>
    <n v="48395"/>
    <x v="18"/>
    <s v="2023 Baja Rancho Cinega"/>
    <s v="2023 Baja Rancho Cinega"/>
    <d v="2023-04-14T00:00:00"/>
    <d v="2023-08-22T00:00:00"/>
    <s v="Multiple"/>
    <m/>
    <s v="2023 Baja Rancho Cinega p4"/>
    <s v="Successful"/>
    <x v="3"/>
    <d v="2023-06-19T00:00:00"/>
    <s v="ND"/>
    <x v="4"/>
    <d v="2023-07-17T00:00:00"/>
    <d v="2023-07-27T00:00:00"/>
    <s v="ND"/>
    <s v="ND"/>
  </r>
  <r>
    <n v="48397"/>
    <x v="14"/>
    <s v="2023 OR Dizney Rd"/>
    <s v="2023 Oregon State - Dizney Rd"/>
    <d v="2023-04-29T00:00:00"/>
    <d v="2023-07-15T00:00:00"/>
    <s v="Simple"/>
    <m/>
    <s v="2023 Oregon State - Dizney Rd p1"/>
    <s v="Partially Abandoned"/>
    <x v="0"/>
    <s v="pre"/>
    <d v="2023-05-07T00:00:00"/>
    <x v="57"/>
    <d v="2023-06-03T00:00:00"/>
    <d v="2023-06-07T00:00:00"/>
    <s v="ND"/>
    <d v="2023-05-25T00:00:00"/>
  </r>
  <r>
    <n v="48398"/>
    <x v="13"/>
    <s v="2023 WA Harder Spring"/>
    <s v="2023 Washington State - Harder Spring"/>
    <d v="2023-04-10T00:00:00"/>
    <d v="2023-08-09T00:00:00"/>
    <s v="Multiple"/>
    <m/>
    <s v="2023 Washington State - Harder Spring p1"/>
    <s v="Successful"/>
    <x v="0"/>
    <s v="ND"/>
    <s v="ND"/>
    <x v="4"/>
    <d v="2023-06-17T00:00:00"/>
    <d v="2023-06-25T00:00:00"/>
    <s v="ND"/>
    <s v="ND"/>
  </r>
  <r>
    <n v="48398"/>
    <x v="13"/>
    <s v="2023 WA Harder Spring"/>
    <s v="2023 Washington State - Harder Spring"/>
    <d v="2023-04-10T00:00:00"/>
    <d v="2023-08-09T00:00:00"/>
    <s v="Multiple"/>
    <m/>
    <s v="2023 Washington State - Harder Spring p2"/>
    <s v="Successful"/>
    <x v="1"/>
    <s v="ND"/>
    <s v="ND"/>
    <x v="4"/>
    <d v="2023-07-27T00:00:00"/>
    <d v="2023-07-28T00:00:00"/>
    <s v="ND"/>
    <s v="ND"/>
  </r>
  <r>
    <n v="48428"/>
    <x v="16"/>
    <s v="2023 Los Vaqueros - Walnut Trail Marsh"/>
    <s v="2023 Los Vaqueros - Walnut Trail Marsh"/>
    <d v="2023-04-07T00:00:00"/>
    <d v="2023-07-07T00:00:00"/>
    <s v="Simple"/>
    <m/>
    <s v="2023 Los Vaqueros - Walnut Trail Marsh p1"/>
    <s v="Abandoned"/>
    <x v="0"/>
    <s v="pre"/>
    <d v="2023-04-14T00:00:00"/>
    <x v="59"/>
    <s v="ND"/>
    <s v="ND"/>
    <d v="2023-04-30T00:00:00"/>
    <s v="ND"/>
  </r>
  <r>
    <n v="48434"/>
    <x v="6"/>
    <s v="2023 Kentucky Lateral"/>
    <s v="2023 Kentucky Lateral"/>
    <d v="2023-04-15T00:00:00"/>
    <d v="2023-05-22T00:00:00"/>
    <s v="Asynchronous"/>
    <m/>
    <s v="2023 Kentucky Lateral p1"/>
    <s v="Successful"/>
    <x v="0"/>
    <s v="pre"/>
    <d v="2023-04-14T00:00:00"/>
    <x v="59"/>
    <d v="2023-05-12T00:00:00"/>
    <d v="2023-05-19T00:00:00"/>
    <s v="ND"/>
    <s v="ND"/>
  </r>
  <r>
    <n v="48436"/>
    <x v="3"/>
    <s v="2023 Markham Ravine"/>
    <s v="2023 Markham Ravine"/>
    <d v="2023-05-05T00:00:00"/>
    <d v="2023-07-17T00:00:00"/>
    <s v="Simple"/>
    <m/>
    <s v="2023 Markham Ravine p1"/>
    <s v="Successful"/>
    <x v="0"/>
    <d v="2023-05-11T00:00:00"/>
    <d v="2023-05-19T00:00:00"/>
    <x v="60"/>
    <d v="2023-06-13T00:00:00"/>
    <d v="2023-06-28T00:00:00"/>
    <s v="ND"/>
    <s v="ND"/>
  </r>
  <r>
    <n v="48437"/>
    <x v="6"/>
    <s v="2023 Plumas Arboga 8 - North Regional Pond"/>
    <s v="2023 Plumas Arboga 8 - North Regional Pond"/>
    <d v="2023-04-21T00:00:00"/>
    <d v="2023-07-08T00:00:00"/>
    <s v="Multiple"/>
    <m/>
    <s v="2023 Plumas Arboga 8 - North Regional Pond p1"/>
    <s v="Successful"/>
    <x v="0"/>
    <s v="pre"/>
    <d v="2023-04-24T00:00:00"/>
    <x v="61"/>
    <d v="2023-05-15T00:00:00"/>
    <d v="2023-05-25T00:00:00"/>
    <s v="ND"/>
    <s v="ND"/>
  </r>
  <r>
    <n v="48437"/>
    <x v="6"/>
    <s v="2023 Plumas Arboga 8 - North Regional Pond"/>
    <s v="2023 Plumas Arboga 8 - North Regional Pond"/>
    <d v="2023-04-21T00:00:00"/>
    <d v="2023-07-08T00:00:00"/>
    <s v="Multiple"/>
    <m/>
    <s v="2023 Plumas Arboga 8 - North Regional Pond p2"/>
    <s v="Successful"/>
    <x v="1"/>
    <d v="2023-05-27T00:00:00"/>
    <d v="2023-06-03T00:00:00"/>
    <x v="62"/>
    <d v="2023-06-22T00:00:00"/>
    <s v="post"/>
    <s v="ND"/>
    <s v="ND"/>
  </r>
  <r>
    <n v="48438"/>
    <x v="4"/>
    <s v="2023 Bridge St Pond"/>
    <s v="2023 San Jacinto Wildlife Area Bridge St. Pond"/>
    <d v="2023-04-18T00:00:00"/>
    <d v="2023-05-06T00:00:00"/>
    <s v="No Birds"/>
    <m/>
    <s v="2023 San Jacinto Wildlife Area Bridge St. Pond p1"/>
    <s v="No Birds"/>
    <x v="0"/>
    <s v="ND"/>
    <s v="ND"/>
    <x v="4"/>
    <s v="ND"/>
    <s v="ND"/>
    <s v="ND"/>
    <s v="ND"/>
  </r>
  <r>
    <n v="48439"/>
    <x v="4"/>
    <s v="2023 West of Davis"/>
    <s v="2023 San Jacinto Wildlife Area West of Davis"/>
    <d v="2023-05-06T00:00:00"/>
    <d v="2023-06-29T00:00:00"/>
    <s v="Multiple"/>
    <m/>
    <s v="2023 San Jacinto Wildlife Area West of Davis p1"/>
    <s v="Successful"/>
    <x v="0"/>
    <s v="pre"/>
    <s v="pre"/>
    <x v="7"/>
    <s v="pre"/>
    <d v="2023-05-10T00:00:00"/>
    <s v="ND"/>
    <s v="ND"/>
  </r>
  <r>
    <n v="48439"/>
    <x v="4"/>
    <s v="2023 West of Davis"/>
    <s v="2023 San Jacinto Wildlife Area West of Davis"/>
    <d v="2023-05-06T00:00:00"/>
    <d v="2023-06-29T00:00:00"/>
    <s v="Multiple"/>
    <m/>
    <s v="2023 San Jacinto Wildlife Area West of Davis p2"/>
    <s v="Successful"/>
    <x v="1"/>
    <s v="pre"/>
    <d v="2023-05-10T00:00:00"/>
    <x v="63"/>
    <d v="2023-06-02T00:00:00"/>
    <d v="2023-06-05T00:00:00"/>
    <s v="ND"/>
    <s v="ND"/>
  </r>
  <r>
    <n v="48440"/>
    <x v="15"/>
    <s v="2023 Peterson Ranch Pond - East"/>
    <s v="2023 Peterson Ranch Pond - East"/>
    <d v="2023-04-05T00:00:00"/>
    <d v="2023-07-28T00:00:00"/>
    <s v="No Colony"/>
    <m/>
    <s v="2023 Peterson Ranch Pond - East p1"/>
    <s v="No Colony"/>
    <x v="0"/>
    <s v="ND"/>
    <s v="ND"/>
    <x v="4"/>
    <s v="ND"/>
    <s v="ND"/>
    <s v="ND"/>
    <s v="ND"/>
  </r>
  <r>
    <n v="48444"/>
    <x v="16"/>
    <s v="2023 Los Vaqueros Reservoir"/>
    <s v="2023 Los Vaqueros Reservoir"/>
    <d v="2023-03-24T00:00:00"/>
    <d v="2023-07-31T00:00:00"/>
    <s v="Complex"/>
    <s v="Asynchronous, Multiple"/>
    <s v="2023 Los Vaqueros Reservoir p1"/>
    <s v="Successful"/>
    <x v="0"/>
    <d v="2023-04-07T00:00:00"/>
    <d v="2023-04-16T00:00:00"/>
    <x v="64"/>
    <d v="2023-05-05T00:00:00"/>
    <d v="2023-06-13T00:00:00"/>
    <s v="ND"/>
    <s v="ND"/>
  </r>
  <r>
    <n v="48444"/>
    <x v="16"/>
    <s v="2023 Los Vaqueros Reservoir"/>
    <s v="2023 Los Vaqueros Reservoir"/>
    <d v="2023-03-24T00:00:00"/>
    <d v="2023-07-31T00:00:00"/>
    <s v="Complex"/>
    <s v="Asynchronous, Multiple"/>
    <s v="2023 Los Vaqueros Reservoir p2"/>
    <s v="Successful"/>
    <x v="1"/>
    <d v="2023-05-27T00:00:00"/>
    <d v="2023-06-03T00:00:00"/>
    <x v="62"/>
    <d v="2023-06-26T00:00:00"/>
    <d v="2023-07-16T00:00:00"/>
    <s v="ND"/>
    <s v="ND"/>
  </r>
  <r>
    <n v="48445"/>
    <x v="14"/>
    <s v="2023 OR Prineville North"/>
    <s v="2023 Oregon State - Prineville North"/>
    <d v="2023-04-29T00:00:00"/>
    <d v="2023-07-15T00:00:00"/>
    <s v="Multiple"/>
    <m/>
    <s v="2023 Oregon State - Prineville North p1"/>
    <s v="Successful"/>
    <x v="0"/>
    <s v="ND"/>
    <d v="2023-05-03T00:00:00"/>
    <x v="58"/>
    <d v="2023-05-27T00:00:00"/>
    <d v="2023-05-28T00:00:00"/>
    <s v="ND"/>
    <s v="ND"/>
  </r>
  <r>
    <n v="48445"/>
    <x v="14"/>
    <s v="2023 OR Prineville North"/>
    <s v="2023 Oregon State - Prineville North"/>
    <d v="2023-04-29T00:00:00"/>
    <d v="2023-07-15T00:00:00"/>
    <s v="Multiple"/>
    <m/>
    <s v="2023 Oregon State - Prineville North p2"/>
    <s v="Successful"/>
    <x v="1"/>
    <d v="2023-06-03T00:00:00"/>
    <d v="2023-06-08T00:00:00"/>
    <x v="65"/>
    <d v="2023-07-06T00:00:00"/>
    <d v="2023-07-11T00:00:00"/>
    <s v="ND"/>
    <s v="ND"/>
  </r>
  <r>
    <n v="48446"/>
    <x v="19"/>
    <s v="2023 Merced NWR - Cottonwood"/>
    <s v="2023 Merced NWR - Cottonwood"/>
    <d v="2023-05-12T00:00:00"/>
    <d v="2023-06-16T00:00:00"/>
    <s v="Multiple"/>
    <m/>
    <s v="2023 Merced NWR - Cottonwood p1"/>
    <s v="Successful"/>
    <x v="0"/>
    <s v="pre"/>
    <s v="pre"/>
    <x v="7"/>
    <s v="pre"/>
    <d v="2023-05-28T00:00:00"/>
    <s v="ND"/>
    <s v="ND"/>
  </r>
  <r>
    <n v="48446"/>
    <x v="19"/>
    <s v="2023 Merced NWR - Cottonwood"/>
    <s v="2023 Merced NWR - Cottonwood"/>
    <d v="2023-05-12T00:00:00"/>
    <d v="2023-06-16T00:00:00"/>
    <s v="Multiple"/>
    <m/>
    <s v="2023 Merced NWR - Cottonwood p2"/>
    <s v="Successful"/>
    <x v="1"/>
    <s v="pre"/>
    <d v="2023-05-13T00:00:00"/>
    <x v="66"/>
    <d v="2023-06-04T00:00:00"/>
    <s v="post"/>
    <s v="ND"/>
    <s v="ND"/>
  </r>
  <r>
    <n v="48447"/>
    <x v="19"/>
    <s v="2023 San Luis Bear Creek"/>
    <s v="2023 San Luis Bear Creek"/>
    <d v="2023-06-16T00:00:00"/>
    <d v="2023-07-24T00:00:00"/>
    <s v="Simple"/>
    <m/>
    <s v="2023 San Luis Bear Creek p1"/>
    <s v="Successful"/>
    <x v="0"/>
    <s v="pre"/>
    <d v="2023-06-20T00:00:00"/>
    <x v="67"/>
    <d v="2023-07-14T00:00:00"/>
    <d v="2023-07-17T00:00:00"/>
    <s v="ND"/>
    <s v="ND"/>
  </r>
  <r>
    <n v="48448"/>
    <x v="6"/>
    <s v="2023 North Regional Pond"/>
    <s v="2023 North Regional Pond"/>
    <d v="2023-03-31T00:00:00"/>
    <d v="2023-06-02T00:00:00"/>
    <s v="Simple"/>
    <m/>
    <s v="2023 North Regional Pond p1"/>
    <s v="Successful"/>
    <x v="0"/>
    <d v="2023-04-07T00:00:00"/>
    <d v="2023-04-23T00:00:00"/>
    <x v="68"/>
    <d v="2023-05-15T00:00:00"/>
    <d v="2023-05-30T00:00:00"/>
    <s v="ND"/>
    <s v="ND"/>
  </r>
  <r>
    <n v="48454"/>
    <x v="5"/>
    <s v="2023 Delevan NWR T43.1"/>
    <s v="2023 Delevan NWR T43.1"/>
    <d v="2023-05-16T00:00:00"/>
    <d v="2023-07-18T00:00:00"/>
    <s v="No Birds"/>
    <m/>
    <s v="2023 Delevan NWR T43.1 p1"/>
    <s v="No Birds"/>
    <x v="0"/>
    <s v="ND"/>
    <s v="ND"/>
    <x v="4"/>
    <s v="ND"/>
    <s v="ND"/>
    <s v="ND"/>
    <s v="ND"/>
  </r>
  <r>
    <n v="48455"/>
    <x v="5"/>
    <s v="2023 Colusa NWR T27.1"/>
    <s v="2023 Colusa NWR T27.1"/>
    <d v="2023-06-01T00:00:00"/>
    <d v="2023-08-01T00:00:00"/>
    <s v="Simple"/>
    <m/>
    <s v="2023 Colusa NWR T27.1 p1"/>
    <s v="Successful"/>
    <x v="0"/>
    <d v="2023-06-19T00:00:00"/>
    <d v="2023-07-04T00:00:00"/>
    <x v="69"/>
    <d v="2023-07-27T00:00:00"/>
    <d v="2023-07-29T00:00:00"/>
    <s v="ND"/>
    <s v="ND"/>
  </r>
  <r>
    <n v="48456"/>
    <x v="6"/>
    <s v="2023 Virginia at Ostrom"/>
    <s v="2023 Virginia at Ostrom"/>
    <d v="2023-04-18T00:00:00"/>
    <d v="2023-06-14T00:00:00"/>
    <s v="No Colony"/>
    <m/>
    <s v="2023 Virginia at Ostrom p1"/>
    <s v="No Colony"/>
    <x v="0"/>
    <s v="ND"/>
    <s v="ND"/>
    <x v="4"/>
    <s v="ND"/>
    <s v="ND"/>
    <s v="ND"/>
    <s v="ND"/>
  </r>
  <r>
    <n v="48457"/>
    <x v="1"/>
    <s v="2023 Iron Point"/>
    <s v="2023 Iron Point"/>
    <d v="2023-05-09T00:00:00"/>
    <d v="2023-08-22T00:00:00"/>
    <s v="Simple"/>
    <m/>
    <s v="2023 Iron Point p1"/>
    <s v="Partially Abandoned"/>
    <x v="0"/>
    <s v="pre"/>
    <s v="pre"/>
    <x v="7"/>
    <d v="2023-05-24T00:00:00"/>
    <d v="2023-06-11T00:00:00"/>
    <s v="ND"/>
    <d v="2023-05-13T00:00:00"/>
  </r>
  <r>
    <n v="48459"/>
    <x v="6"/>
    <s v="2023 Laguna Fry Confluence - 45 Sump"/>
    <s v="2023 Laguna Fry Confluence - 45 Sump"/>
    <d v="2023-04-25T00:00:00"/>
    <d v="2023-06-18T00:00:00"/>
    <s v="Simple"/>
    <m/>
    <s v="2023 Laguna Fry Confluence - 45 Sump p1"/>
    <s v="Successful"/>
    <x v="0"/>
    <s v="pre"/>
    <d v="2023-04-29T00:00:00"/>
    <x v="70"/>
    <d v="2023-05-21T00:00:00"/>
    <d v="2023-05-30T00:00:00"/>
    <s v="ND"/>
    <s v="ND"/>
  </r>
  <r>
    <n v="48462"/>
    <x v="0"/>
    <s v="2023 Creed Rd"/>
    <s v="2023 Denverton Creek"/>
    <d v="2023-03-12T00:00:00"/>
    <d v="2023-08-07T00:00:00"/>
    <s v="Simple"/>
    <m/>
    <s v="2023 Denverton Creek p1"/>
    <s v="Abandoned"/>
    <x v="0"/>
    <d v="2023-04-22T00:00:00"/>
    <d v="2023-05-06T00:00:00"/>
    <x v="4"/>
    <s v="ND"/>
    <s v="ND"/>
    <d v="2023-05-10T00:00:00"/>
    <s v="ND"/>
  </r>
  <r>
    <n v="48463"/>
    <x v="6"/>
    <s v="2023 Hale Road"/>
    <s v="2023 Hale Road"/>
    <d v="2023-04-18T00:00:00"/>
    <d v="2023-07-08T00:00:00"/>
    <s v="Multiple"/>
    <m/>
    <s v="2023 Hale Road p1"/>
    <s v="Successful"/>
    <x v="0"/>
    <d v="2023-05-20T00:00:00"/>
    <d v="2023-05-25T00:00:00"/>
    <x v="71"/>
    <d v="2023-06-13T00:00:00"/>
    <d v="2023-07-06T00:00:00"/>
    <s v="ND"/>
    <s v="ND"/>
  </r>
  <r>
    <n v="48463"/>
    <x v="6"/>
    <s v="2023 Hale Road"/>
    <s v="2023 Hale Road"/>
    <d v="2023-04-18T00:00:00"/>
    <d v="2023-07-08T00:00:00"/>
    <s v="Multiple"/>
    <m/>
    <s v="2023 Hale Road p2"/>
    <s v="Unknown"/>
    <x v="1"/>
    <d v="2023-06-24T00:00:00"/>
    <d v="2023-06-29T00:00:00"/>
    <x v="72"/>
    <s v="post"/>
    <s v="post"/>
    <s v="ND"/>
    <s v="ND"/>
  </r>
  <r>
    <n v="48464"/>
    <x v="19"/>
    <s v="2023 San Luis NWR - West Bank Creek"/>
    <s v="2023 San Luis NWR - West Bank Creek"/>
    <d v="2023-05-26T00:00:00"/>
    <d v="2023-07-12T00:00:00"/>
    <s v="Simple"/>
    <m/>
    <s v="2023 San Luis NWR - West Bank Creek p1"/>
    <s v="Partially Abandoned"/>
    <x v="0"/>
    <s v="pre"/>
    <d v="2023-06-01T00:00:00"/>
    <x v="73"/>
    <d v="2023-06-24T00:00:00"/>
    <d v="2023-07-04T00:00:00"/>
    <s v="ND"/>
    <d v="2023-06-05T00:00:00"/>
  </r>
  <r>
    <n v="48465"/>
    <x v="6"/>
    <s v="2023 Laguna Fry Confluence - Site 1"/>
    <s v="2023 Laguna Fry Confluence - Site 1"/>
    <d v="2023-05-09T00:00:00"/>
    <d v="2023-06-18T00:00:00"/>
    <s v="Simple"/>
    <m/>
    <s v="2023 Laguna Fry Confluence - Site 1 p1"/>
    <s v="Successful"/>
    <x v="0"/>
    <s v="pre"/>
    <d v="2023-05-04T00:00:00"/>
    <x v="74"/>
    <d v="2023-05-26T00:00:00"/>
    <d v="2023-05-31T00:00:00"/>
    <s v="ND"/>
    <s v="ND"/>
  </r>
  <r>
    <n v="48466"/>
    <x v="7"/>
    <s v="2023 Sedgwick"/>
    <s v="2023 Sedgwick"/>
    <d v="2023-03-26T00:00:00"/>
    <d v="2023-07-29T00:00:00"/>
    <s v="Asynchronous"/>
    <m/>
    <s v="2023 Sedgwick p1"/>
    <s v="Successful"/>
    <x v="0"/>
    <s v="pre"/>
    <d v="2023-04-03T00:00:00"/>
    <x v="75"/>
    <d v="2023-04-29T00:00:00"/>
    <d v="2023-05-17T00:00:00"/>
    <s v="ND"/>
    <s v="ND"/>
  </r>
  <r>
    <n v="48467"/>
    <x v="11"/>
    <s v="2023 Kern - Canebreak Ecological Reserve 4"/>
    <s v="2023 Kern - Canebreak Ecological Reserve 4"/>
    <d v="2023-05-25T00:00:00"/>
    <d v="2023-08-11T00:00:00"/>
    <s v="No Birds"/>
    <m/>
    <s v="2023 Kern - Canebreak Ecological Reserve 4 p1"/>
    <s v="No Birds"/>
    <x v="0"/>
    <s v="ND"/>
    <s v="ND"/>
    <x v="4"/>
    <s v="ND"/>
    <s v="ND"/>
    <s v="ND"/>
    <s v="ND"/>
  </r>
  <r>
    <n v="48469"/>
    <x v="12"/>
    <s v="2023 Wind Wolves Preserve Site 2"/>
    <s v="2023 Wind Wolves Preserve Site 2"/>
    <d v="2023-04-07T00:00:00"/>
    <d v="2023-07-25T00:00:00"/>
    <s v="Asynchronous"/>
    <m/>
    <s v="2023 Wind Wolves Preserve Site 2 p1"/>
    <s v="Successful"/>
    <x v="0"/>
    <s v="pre"/>
    <d v="2023-04-19T00:00:00"/>
    <x v="76"/>
    <d v="2023-05-08T00:00:00"/>
    <d v="2023-06-07T00:00:00"/>
    <s v="ND"/>
    <s v="ND"/>
  </r>
  <r>
    <n v="48470"/>
    <x v="11"/>
    <s v="2023 Kern - HQ2"/>
    <s v="2023 Kern - Headquarters 2"/>
    <d v="2023-05-03T00:00:00"/>
    <d v="2023-08-11T00:00:00"/>
    <s v="Multiple"/>
    <m/>
    <s v="2023 Kern - Headquarters 2 p1"/>
    <s v="Successful"/>
    <x v="0"/>
    <d v="2023-05-20T00:00:00"/>
    <d v="2023-05-27T00:00:00"/>
    <x v="77"/>
    <d v="2023-06-20T00:00:00"/>
    <d v="2023-07-03T00:00:00"/>
    <s v="ND"/>
    <s v="ND"/>
  </r>
  <r>
    <n v="48470"/>
    <x v="11"/>
    <s v="2023 Kern - HQ2"/>
    <s v="2023 Kern - Headquarters 2"/>
    <d v="2023-05-03T00:00:00"/>
    <d v="2023-08-11T00:00:00"/>
    <s v="Multiple"/>
    <m/>
    <s v="2023 Kern - Headquarters 2 p2"/>
    <s v="Successful"/>
    <x v="1"/>
    <d v="2023-06-24T00:00:00"/>
    <d v="2023-07-01T00:00:00"/>
    <x v="78"/>
    <d v="2023-07-22T00:00:00"/>
    <d v="2023-08-07T00:00:00"/>
    <s v="ND"/>
    <s v="ND"/>
  </r>
  <r>
    <n v="48471"/>
    <x v="12"/>
    <s v="2023 Wind Wolves Preserve site 1"/>
    <s v="2023 Wind Wolves Preserve site 1"/>
    <d v="2023-04-07T00:00:00"/>
    <d v="2023-07-25T00:00:00"/>
    <s v="Asynchronous"/>
    <m/>
    <s v="2023 Wind Wolves Preserve site 1 p1"/>
    <s v="Successful"/>
    <x v="0"/>
    <s v="pre"/>
    <d v="2023-04-23T00:00:00"/>
    <x v="68"/>
    <d v="2023-05-17T00:00:00"/>
    <d v="2023-05-31T00:00:00"/>
    <s v="ND"/>
    <s v="ND"/>
  </r>
  <r>
    <n v="48472"/>
    <x v="5"/>
    <s v="2023 Delevan T6"/>
    <s v="2023 Delevan T6"/>
    <d v="2023-05-30T00:00:00"/>
    <d v="2023-07-25T00:00:00"/>
    <s v="No Birds"/>
    <m/>
    <s v="2023 Delevan T6 p1"/>
    <s v="No Birds"/>
    <x v="0"/>
    <s v="ND"/>
    <s v="ND"/>
    <x v="4"/>
    <s v="ND"/>
    <s v="ND"/>
    <s v="ND"/>
    <s v="ND"/>
  </r>
  <r>
    <n v="48473"/>
    <x v="6"/>
    <s v="2023 Conaway Ranch - HQ"/>
    <s v="2023 Conaway Ranch - Headquarters"/>
    <d v="2023-05-24T00:00:00"/>
    <d v="2023-07-05T00:00:00"/>
    <s v="Simple"/>
    <m/>
    <s v="2023 Conaway Ranch - Headquarters p1"/>
    <s v="Successful"/>
    <x v="0"/>
    <d v="2023-05-26T00:00:00"/>
    <d v="2023-06-01T00:00:00"/>
    <x v="73"/>
    <d v="2023-06-20T00:00:00"/>
    <d v="2023-06-29T00:00:00"/>
    <s v="ND"/>
    <s v="ND"/>
  </r>
  <r>
    <n v="48474"/>
    <x v="6"/>
    <s v="2023 Conaway Ranch NE"/>
    <s v="2023 Conaway Ranch Northeast"/>
    <d v="2023-05-26T00:00:00"/>
    <d v="2023-07-11T00:00:00"/>
    <s v="Simple"/>
    <m/>
    <s v="2023 Conaway Ranch Northeast p1"/>
    <s v="Successful"/>
    <x v="0"/>
    <s v="pre"/>
    <d v="2023-05-30T00:00:00"/>
    <x v="79"/>
    <d v="2023-06-25T00:00:00"/>
    <d v="2023-06-29T00:00:00"/>
    <s v="ND"/>
    <s v="ND"/>
  </r>
  <r>
    <n v="48475"/>
    <x v="6"/>
    <s v="2023 Plumas Arboga 2"/>
    <s v="2023 Plumas Arboga 2"/>
    <d v="2023-05-26T00:00:00"/>
    <d v="2023-07-08T00:00:00"/>
    <s v="Simple"/>
    <m/>
    <s v="2023 Plumas Arboga 2 p1"/>
    <s v="Successful"/>
    <x v="0"/>
    <s v="pre"/>
    <d v="2023-05-26T00:00:00"/>
    <x v="80"/>
    <d v="2023-06-17T00:00:00"/>
    <d v="2023-06-30T00:00:00"/>
    <s v="ND"/>
    <s v="ND"/>
  </r>
  <r>
    <n v="48476"/>
    <x v="6"/>
    <s v="2023 Conaway Ranch North 2"/>
    <s v="2023 Conaway Ranch North 2"/>
    <d v="2023-06-13T00:00:00"/>
    <d v="2023-07-27T00:00:00"/>
    <s v="Simple"/>
    <m/>
    <s v="2023 Conaway Ranch North 2 p1"/>
    <s v="Successful"/>
    <x v="0"/>
    <s v="pre"/>
    <d v="2023-06-16T00:00:00"/>
    <x v="81"/>
    <d v="2023-07-07T00:00:00"/>
    <d v="2023-07-23T00:00:00"/>
    <s v="ND"/>
    <s v="ND"/>
  </r>
  <r>
    <n v="48477"/>
    <x v="6"/>
    <s v="2023 Conaway Ranch North 1"/>
    <s v="2023 Conaway Ranch North 1"/>
    <d v="2023-06-08T00:00:00"/>
    <d v="2023-07-13T00:00:00"/>
    <s v="Simple"/>
    <m/>
    <s v="2023 Conaway Ranch North 1 p1"/>
    <s v="Successful"/>
    <x v="0"/>
    <s v="pre"/>
    <d v="2023-06-06T00:00:00"/>
    <x v="82"/>
    <d v="2023-06-28T00:00:00"/>
    <d v="2023-07-12T00:00:00"/>
    <s v="ND"/>
    <s v="ND"/>
  </r>
  <r>
    <n v="48478"/>
    <x v="6"/>
    <s v="2023 South Virginia Road 3"/>
    <s v="2023 South Virginia Road 3"/>
    <d v="2023-04-11T00:00:00"/>
    <d v="2023-06-06T00:00:00"/>
    <s v="No Birds"/>
    <m/>
    <s v="2023 South Virginia Road 3 p1"/>
    <s v="No Birds"/>
    <x v="0"/>
    <s v="ND"/>
    <s v="ND"/>
    <x v="4"/>
    <s v="ND"/>
    <s v="ND"/>
    <s v="ND"/>
    <s v="ND"/>
  </r>
  <r>
    <n v="48490"/>
    <x v="19"/>
    <s v="2023 Merced NWR Deadman Wetland Ditch"/>
    <s v="2023 Merced NWR Deadman Wetland Ditch"/>
    <d v="2023-05-23T00:00:00"/>
    <d v="2023-06-27T00:00:00"/>
    <s v="Simple"/>
    <m/>
    <s v="2023 Merced NWR Deadman Wetland Ditch p1"/>
    <s v="Abandoned"/>
    <x v="0"/>
    <s v="pre"/>
    <d v="2023-05-18T00:00:00"/>
    <x v="83"/>
    <s v="ND"/>
    <s v="ND"/>
    <d v="2023-06-04T00:00:00"/>
    <s v="ND"/>
  </r>
  <r>
    <n v="48747"/>
    <x v="6"/>
    <s v="2023 Weagell Property 1"/>
    <s v="2023 Weagell Property 1"/>
    <d v="2023-04-19T00:00:00"/>
    <d v="2023-06-18T00:00:00"/>
    <s v="Complex"/>
    <s v="Additions, Multiple"/>
    <s v="2023 Weagell Property 1 p1"/>
    <s v="Successful"/>
    <x v="0"/>
    <d v="2023-04-20T00:00:00"/>
    <d v="2023-04-21T00:00:00"/>
    <x v="84"/>
    <d v="2023-05-22T00:00:00"/>
    <d v="2023-06-15T00:00:00"/>
    <s v="ND"/>
    <s v="ND"/>
  </r>
  <r>
    <n v="48747"/>
    <x v="6"/>
    <s v="2023 Weagell Property 1"/>
    <s v="2023 Weagell Property 1"/>
    <d v="2023-04-19T00:00:00"/>
    <d v="2023-06-18T00:00:00"/>
    <s v="Complex"/>
    <s v="Additions, Multiple"/>
    <s v="2023 Weagell Property 1 p2"/>
    <s v="Successful"/>
    <x v="1"/>
    <s v="ND"/>
    <d v="2023-05-04T00:00:00"/>
    <x v="74"/>
    <s v="ND"/>
    <s v="ND"/>
    <s v="ND"/>
    <s v="ND"/>
  </r>
  <r>
    <n v="48747"/>
    <x v="6"/>
    <s v="2023 Weagell Property 1"/>
    <s v="2023 Weagell Property 1"/>
    <d v="2023-04-19T00:00:00"/>
    <d v="2023-06-18T00:00:00"/>
    <s v="Complex"/>
    <s v="Additions, Multiple"/>
    <s v="2023 Weagell Property 1 p3"/>
    <s v="Successful"/>
    <x v="2"/>
    <s v="ND"/>
    <d v="2023-05-25T00:00:00"/>
    <x v="71"/>
    <s v="ND"/>
    <s v="ND"/>
    <s v="ND"/>
    <s v="ND"/>
  </r>
  <r>
    <n v="48747"/>
    <x v="6"/>
    <s v="2023 Weagell Property 1"/>
    <s v="2023 Weagell Property 1"/>
    <d v="2023-04-19T00:00:00"/>
    <d v="2023-06-18T00:00:00"/>
    <s v="Complex"/>
    <s v="Additions, Multiple"/>
    <s v="2023 Weagell Property 1 p4"/>
    <s v="Unknown"/>
    <x v="3"/>
    <s v="ND"/>
    <d v="2023-06-01T00:00:00"/>
    <x v="73"/>
    <s v="ND"/>
    <s v="ND"/>
    <s v="ND"/>
    <s v="ND"/>
  </r>
  <r>
    <n v="48764"/>
    <x v="9"/>
    <s v="2023 Rancho Jamul North Pond - fix lat lon"/>
    <s v="2023 Rancho Jamul - North Pond"/>
    <d v="2023-03-27T00:00:00"/>
    <d v="2023-08-04T00:00:00"/>
    <s v="Simple"/>
    <m/>
    <s v="2023 Rancho Jamul - North Pond p1"/>
    <s v="Successful"/>
    <x v="0"/>
    <d v="2023-04-22T00:00:00"/>
    <d v="2023-05-04T00:00:00"/>
    <x v="74"/>
    <d v="2023-05-25T00:00:00"/>
    <d v="2023-06-03T00:00:00"/>
    <s v="ND"/>
    <s v="ND"/>
  </r>
  <r>
    <n v="48765"/>
    <x v="9"/>
    <s v="2023 Rancho Jamul Site 1 fix lat lon"/>
    <s v="2023 Rancho Jamul - Site 1"/>
    <d v="2023-03-27T00:00:00"/>
    <d v="2023-08-03T00:00:00"/>
    <s v="Multiple"/>
    <m/>
    <s v="2023 Rancho Jamul - Site 1 p1"/>
    <s v="Successful"/>
    <x v="0"/>
    <d v="2023-03-29T00:00:00"/>
    <d v="2023-04-13T00:00:00"/>
    <x v="85"/>
    <d v="2023-05-06T00:00:00"/>
    <d v="2023-05-30T00:00:00"/>
    <s v="ND"/>
    <s v="ND"/>
  </r>
  <r>
    <n v="48765"/>
    <x v="9"/>
    <s v="2023 Rancho Jamul Site 1 fix lat lon"/>
    <s v="2023 Rancho Jamul - Site 1"/>
    <d v="2023-03-27T00:00:00"/>
    <d v="2023-08-03T00:00:00"/>
    <s v="Multiple"/>
    <m/>
    <s v="2023 Rancho Jamul - Site 1 p2"/>
    <s v="Unknown"/>
    <x v="1"/>
    <d v="2023-05-26T00:00:00"/>
    <d v="2023-06-10T00:00:00"/>
    <x v="86"/>
    <d v="2023-07-10T00:00:00"/>
    <d v="2023-07-21T00:00:00"/>
    <s v="ND"/>
    <s v="ND"/>
  </r>
  <r>
    <n v="48765"/>
    <x v="9"/>
    <s v="2023 Rancho Jamul Site 1 fix lat lon"/>
    <s v="2023 Rancho Jamul - Site 1"/>
    <d v="2023-03-27T00:00:00"/>
    <d v="2023-08-03T00:00:00"/>
    <s v="Multiple"/>
    <m/>
    <s v="2023 Rancho Jamul - Site 1 p3"/>
    <s v="Successful"/>
    <x v="2"/>
    <s v="ND"/>
    <s v="ND"/>
    <x v="4"/>
    <s v="ND"/>
    <s v="ND"/>
    <s v="ND"/>
    <s v="ND"/>
  </r>
  <r>
    <n v="48797"/>
    <x v="10"/>
    <s v="2023 Panoche Creek Preserve - Corrals SE"/>
    <s v="2023 Panoche Creek Preserve - Corrals South East"/>
    <d v="2023-04-29T00:00:00"/>
    <d v="2023-06-12T00:00:00"/>
    <s v="Simple"/>
    <m/>
    <s v="2023 Panoche Creek Preserve - Corrals South East p1"/>
    <s v="Successful"/>
    <x v="0"/>
    <s v="pre"/>
    <s v="pre"/>
    <x v="7"/>
    <d v="2023-05-07T00:00:00"/>
    <d v="2023-05-16T00:00:00"/>
    <s v="ND"/>
    <s v="ND"/>
  </r>
  <r>
    <n v="48877"/>
    <x v="5"/>
    <s v="2023 Delevan NWR T43.2"/>
    <s v="2023 Delevan NWR T43.2"/>
    <d v="2023-05-16T00:00:00"/>
    <d v="2023-09-16T00:00:00"/>
    <s v="No Birds"/>
    <m/>
    <s v="2023 Delevan NWR T43.2 p1"/>
    <s v="No Birds"/>
    <x v="0"/>
    <s v="ND"/>
    <s v="ND"/>
    <x v="4"/>
    <s v="ND"/>
    <s v="ND"/>
    <s v="ND"/>
    <s v="ND"/>
  </r>
  <r>
    <n v="52597"/>
    <x v="10"/>
    <s v="2022 Panoche Creek Preserve Loc3"/>
    <s v="2022 Panoche Creek Preserve Location 3"/>
    <d v="2022-03-18T00:00:00"/>
    <d v="2022-06-23T00:00:00"/>
    <s v="Simple"/>
    <m/>
    <s v="2022 Panoche Creek Preserve Location 3 p1"/>
    <s v="Successful"/>
    <x v="0"/>
    <d v="2022-03-22T00:00:00"/>
    <d v="2022-04-08T00:00:00"/>
    <x v="51"/>
    <d v="2022-05-03T00:00:00"/>
    <d v="2022-05-16T00:00:00"/>
    <s v="ND"/>
    <s v="ND"/>
  </r>
  <r>
    <n v="52598"/>
    <x v="10"/>
    <s v="2022 Panoche Creek Preserve Loc4"/>
    <s v="2022 Panoche Creek Preserve Location 4"/>
    <d v="2022-03-22T00:00:00"/>
    <d v="2022-04-14T00:00:00"/>
    <s v="No Colony"/>
    <m/>
    <s v="2022 Panoche Creek Preserve Location 4 p1"/>
    <s v="No Colony"/>
    <x v="0"/>
    <s v="ND"/>
    <s v="ND"/>
    <x v="4"/>
    <s v="ND"/>
    <s v="ND"/>
    <s v="ND"/>
    <s v="ND"/>
  </r>
  <r>
    <n v="57589"/>
    <x v="8"/>
    <s v="2020 Fort Ord"/>
    <s v="2020 Fort Ord"/>
    <d v="2020-04-08T00:00:00"/>
    <d v="2020-07-15T00:00:00"/>
    <s v="Simple"/>
    <m/>
    <s v="2020 Fort Ord p1"/>
    <s v="Successful"/>
    <x v="0"/>
    <s v="pre"/>
    <d v="2020-04-12T00:00:00"/>
    <x v="87"/>
    <d v="2020-05-09T00:00:00"/>
    <d v="2020-05-28T00:00:00"/>
    <s v="ND"/>
    <s v="ND"/>
  </r>
  <r>
    <n v="58629"/>
    <x v="5"/>
    <s v="2023 Colusa NWR T27.2"/>
    <s v="2023 Colusa NWR T27.2"/>
    <d v="2023-06-01T00:00:00"/>
    <d v="2023-08-01T00:00:00"/>
    <s v="Simple"/>
    <m/>
    <s v="2023 Colusa NWR T27.2 p1"/>
    <s v="Successful"/>
    <x v="0"/>
    <s v="pre"/>
    <d v="2023-06-08T00:00:00"/>
    <x v="65"/>
    <d v="2023-06-29T00:00:00"/>
    <d v="2023-07-19T00:00:00"/>
    <s v="ND"/>
    <s v="ND"/>
  </r>
  <r>
    <n v="63044"/>
    <x v="16"/>
    <s v="2024 Los Vaqueros Reservoir"/>
    <s v="2024 Los Vaqueros Reservoir"/>
    <d v="2024-03-15T00:00:00"/>
    <d v="2024-06-24T00:00:00"/>
    <s v="Multiple"/>
    <m/>
    <s v="2024 Los Vaqueros Reservoir p1"/>
    <s v="Partially Abandoned"/>
    <x v="0"/>
    <d v="2024-03-15T00:00:00"/>
    <d v="2024-04-23T00:00:00"/>
    <x v="88"/>
    <d v="2024-05-19T00:00:00"/>
    <s v="ND"/>
    <s v="ND"/>
    <d v="2024-04-26T00:00:00"/>
  </r>
  <r>
    <n v="63044"/>
    <x v="16"/>
    <s v="2024 Los Vaqueros Reservoir"/>
    <s v="2024 Los Vaqueros Reservoir"/>
    <d v="2024-03-15T00:00:00"/>
    <d v="2024-06-24T00:00:00"/>
    <s v="Multiple"/>
    <m/>
    <s v="2024 Los Vaqueros Reservoir p2"/>
    <s v="Successful"/>
    <x v="1"/>
    <d v="2024-05-17T00:00:00"/>
    <d v="2024-05-29T00:00:00"/>
    <x v="89"/>
    <d v="2024-06-18T00:00:00"/>
    <s v="post"/>
    <s v="ND"/>
    <s v="ND"/>
  </r>
  <r>
    <n v="63049"/>
    <x v="8"/>
    <s v="2024 Ohlone - Santa Lucia Preserve"/>
    <s v="2024 Ohlone Pond"/>
    <d v="2024-04-10T00:00:00"/>
    <d v="2024-07-01T00:00:00"/>
    <s v="Asynchronous"/>
    <m/>
    <s v="2024 Ohlone Pond p1"/>
    <s v="Successful"/>
    <x v="0"/>
    <s v="pre"/>
    <d v="2024-04-20T00:00:00"/>
    <x v="90"/>
    <d v="2024-05-18T00:00:00"/>
    <s v="post"/>
    <s v="ND"/>
    <s v="ND"/>
  </r>
  <r>
    <n v="63085"/>
    <x v="3"/>
    <s v="2024 Markham Ravine 1"/>
    <s v="2024 Markham Ravine 1"/>
    <d v="2024-05-07T00:00:00"/>
    <d v="2024-05-24T00:00:00"/>
    <s v="No Birds"/>
    <m/>
    <s v="2024 Markham Ravine 1 p1"/>
    <s v="No Birds"/>
    <x v="0"/>
    <s v="ND"/>
    <s v="ND"/>
    <x v="4"/>
    <s v="ND"/>
    <s v="ND"/>
    <s v="ND"/>
    <s v="ND"/>
  </r>
  <r>
    <n v="63086"/>
    <x v="14"/>
    <s v="2024 OR Eureka Lane"/>
    <s v="2024 Oregon State -  Eureka Lane"/>
    <d v="2024-05-04T00:00:00"/>
    <d v="2024-07-14T00:00:00"/>
    <s v="No Birds"/>
    <m/>
    <s v="2024 Oregon State -  Eureka Lane p1"/>
    <s v="No Birds"/>
    <x v="0"/>
    <s v="ND"/>
    <s v="ND"/>
    <x v="4"/>
    <s v="ND"/>
    <s v="ND"/>
    <s v="ND"/>
    <s v="ND"/>
  </r>
  <r>
    <n v="63087"/>
    <x v="8"/>
    <s v="2024 Moore Lake - confirm lat lon"/>
    <s v="2024 Moore Lake"/>
    <d v="2024-04-10T00:00:00"/>
    <d v="2024-07-01T00:00:00"/>
    <s v="No Birds"/>
    <m/>
    <s v="2024 Moore Lake p1"/>
    <s v="No Birds"/>
    <x v="0"/>
    <s v="ND"/>
    <s v="ND"/>
    <x v="4"/>
    <s v="ND"/>
    <s v="ND"/>
    <s v="ND"/>
    <s v="ND"/>
  </r>
  <r>
    <n v="63089"/>
    <x v="4"/>
    <s v="2024 SJWA Thistle NW of Bridge Street Pond"/>
    <s v="2024 San Jacinto Wildlife Area - Thistle Patch NW of Bridge Street Pond"/>
    <d v="2024-06-05T00:00:00"/>
    <d v="2024-06-22T00:00:00"/>
    <s v="Simple"/>
    <m/>
    <s v="2024 San Jacinto Wildlife Area - Thistle Patch NW of Bridge Street Pond p1"/>
    <s v="Successful"/>
    <x v="0"/>
    <s v="pre"/>
    <s v="pre"/>
    <x v="7"/>
    <d v="2024-06-13T00:00:00"/>
    <d v="2024-06-19T00:00:00"/>
    <s v="ND"/>
    <s v="ND"/>
  </r>
  <r>
    <n v="63114"/>
    <x v="19"/>
    <s v="2024 Merced NWR - Cottonwood Trail"/>
    <s v="2024 Merced NWR - Cottonwood Trail"/>
    <d v="2024-04-25T00:00:00"/>
    <d v="2024-07-12T00:00:00"/>
    <s v="Asynchronous"/>
    <m/>
    <s v="2024 Merced NWR - Cottonwood Trail p1"/>
    <s v="Successful"/>
    <x v="0"/>
    <s v="pre"/>
    <s v="ND"/>
    <x v="4"/>
    <d v="2024-05-11T00:00:00"/>
    <d v="2024-06-11T00:00:00"/>
    <s v="ND"/>
    <s v="ND"/>
  </r>
  <r>
    <n v="63115"/>
    <x v="10"/>
    <s v="2024 Dublin Ranch Preserve - Lin Livermore Conservation Area"/>
    <s v="2024 Dublin Ranch Preserve - Lin Livermore Conservation Area"/>
    <d v="2024-05-21T00:00:00"/>
    <d v="2024-08-15T00:00:00"/>
    <s v="Simple"/>
    <m/>
    <s v="2024 Dublin Ranch Preserve - Lin Livermore Conservation Area p1"/>
    <s v="Successful"/>
    <x v="0"/>
    <s v="pre"/>
    <d v="2024-05-19T00:00:00"/>
    <x v="91"/>
    <d v="2024-06-15T00:00:00"/>
    <d v="2024-06-23T00:00:00"/>
    <s v="ND"/>
    <s v="ND"/>
  </r>
  <r>
    <n v="63116"/>
    <x v="13"/>
    <s v="2024 WA Harder Spring"/>
    <s v="2024 Washington State - Harder Spring"/>
    <d v="2024-03-25T00:00:00"/>
    <d v="2024-08-03T00:00:00"/>
    <s v="Simple"/>
    <m/>
    <s v="2024 Washington State - Harder Spring p1"/>
    <s v="Successful"/>
    <x v="0"/>
    <s v="ND"/>
    <d v="2024-07-06T00:00:00"/>
    <x v="92"/>
    <d v="2024-07-27T00:00:00"/>
    <s v="post"/>
    <s v="ND"/>
    <s v="ND"/>
  </r>
  <r>
    <n v="63465"/>
    <x v="13"/>
    <s v="2024 WA McCain Pond"/>
    <s v="2024 Washington State - McCain Pond"/>
    <d v="2024-03-29T00:00:00"/>
    <d v="2024-08-09T00:00:00"/>
    <s v="Simple"/>
    <m/>
    <s v="2024 Washington State - McCain Pond p1"/>
    <s v="Successful"/>
    <x v="0"/>
    <s v="ND"/>
    <d v="2024-04-28T00:00:00"/>
    <x v="93"/>
    <d v="2024-05-24T00:00:00"/>
    <d v="2024-06-01T00:00:00"/>
    <s v="ND"/>
    <s v="ND"/>
  </r>
  <r>
    <n v="63468"/>
    <x v="9"/>
    <s v="2024 Rancho Jamul - North Pond"/>
    <s v="2024 Rancho Jamul - North Pond"/>
    <d v="2024-03-27T00:00:00"/>
    <d v="2024-06-22T00:00:00"/>
    <s v="No Colony"/>
    <m/>
    <s v="2024 Rancho Jamul - North Pond p1"/>
    <s v="No Colony"/>
    <x v="0"/>
    <s v="ND"/>
    <s v="ND"/>
    <x v="4"/>
    <s v="ND"/>
    <s v="ND"/>
    <s v="ND"/>
    <s v="ND"/>
  </r>
  <r>
    <n v="63656"/>
    <x v="9"/>
    <s v="2024 Rancho Jamul - Main Pond 1"/>
    <s v="2024 Rancho Jamul - Main Pond 1"/>
    <d v="2024-03-26T00:00:00"/>
    <d v="2024-08-07T00:00:00"/>
    <s v="Complex"/>
    <s v="Asynchronous, Multiple"/>
    <s v="2024 Rancho Jamul - Main Pond 1 p1"/>
    <s v="Successful"/>
    <x v="0"/>
    <s v="pre"/>
    <d v="2024-04-09T00:00:00"/>
    <x v="4"/>
    <s v="ND"/>
    <d v="2024-05-24T00:00:00"/>
    <s v="ND"/>
    <s v="ND"/>
  </r>
  <r>
    <n v="63656"/>
    <x v="9"/>
    <s v="2024 Rancho Jamul - Main Pond 1"/>
    <s v="2024 Rancho Jamul - Main Pond 1"/>
    <d v="2024-03-26T00:00:00"/>
    <d v="2024-08-07T00:00:00"/>
    <s v="Complex"/>
    <s v="Asynchronous, Multiple"/>
    <s v="2024 Rancho Jamul - Main Pond 1 p2"/>
    <s v="Successful"/>
    <x v="1"/>
    <d v="2024-05-01T00:00:00"/>
    <d v="2024-05-14T00:00:00"/>
    <x v="94"/>
    <d v="2024-06-09T00:00:00"/>
    <d v="2024-07-30T00:00:00"/>
    <s v="ND"/>
    <s v="ND"/>
  </r>
  <r>
    <n v="63738"/>
    <x v="7"/>
    <s v="2024 Sedgwick"/>
    <s v="2024 Sedgwick"/>
    <d v="2024-04-04T00:00:00"/>
    <d v="2024-08-04T00:00:00"/>
    <s v="Asynchronous"/>
    <m/>
    <s v="2024 Sedgwick p1"/>
    <s v="Successful"/>
    <x v="0"/>
    <s v="pre"/>
    <d v="2024-04-08T00:00:00"/>
    <x v="95"/>
    <d v="2024-05-06T00:00:00"/>
    <d v="2024-06-06T00:00:00"/>
    <s v="ND"/>
    <s v="ND"/>
  </r>
  <r>
    <n v="65444"/>
    <x v="18"/>
    <s v="2024 Baja Lago Mesa Redonda"/>
    <s v="2024 Baja Lago Mesa Redonda"/>
    <d v="2024-05-02T00:00:00"/>
    <d v="2024-08-04T00:00:00"/>
    <s v="Multiple"/>
    <m/>
    <s v="2024 Baja Lago Mesa Redonda p1"/>
    <s v="Successful"/>
    <x v="0"/>
    <s v="pre"/>
    <s v="pre"/>
    <x v="7"/>
    <d v="2024-05-03T00:00:00"/>
    <s v="ND"/>
    <s v="ND"/>
    <s v="ND"/>
  </r>
  <r>
    <n v="65444"/>
    <x v="18"/>
    <s v="2024 Baja Lago Mesa Redonda"/>
    <s v="2024 Baja Lago Mesa Redonda"/>
    <d v="2024-05-02T00:00:00"/>
    <d v="2024-08-04T00:00:00"/>
    <s v="Multiple"/>
    <m/>
    <s v="2024 Baja Lago Mesa Redonda p2"/>
    <s v="Successful"/>
    <x v="1"/>
    <s v="pre"/>
    <d v="2024-05-12T00:00:00"/>
    <x v="96"/>
    <s v="ND"/>
    <s v="ND"/>
    <s v="ND"/>
    <s v="ND"/>
  </r>
  <r>
    <n v="65444"/>
    <x v="18"/>
    <s v="2024 Baja Lago Mesa Redonda"/>
    <s v="2024 Baja Lago Mesa Redonda"/>
    <d v="2024-05-02T00:00:00"/>
    <d v="2024-08-04T00:00:00"/>
    <s v="Multiple"/>
    <m/>
    <s v="2024 Baja Lago Mesa Redonda p3"/>
    <s v="Successful"/>
    <x v="2"/>
    <d v="2024-05-30T00:00:00"/>
    <d v="2024-06-09T00:00:00"/>
    <x v="97"/>
    <s v="ND"/>
    <d v="2024-07-07T00:00:00"/>
    <s v="ND"/>
    <s v="ND"/>
  </r>
  <r>
    <n v="65446"/>
    <x v="18"/>
    <s v="2024 Baja Rancho Cinega Redonda 1"/>
    <s v="2024 Baja Rancho Cinega Redonda 1"/>
    <d v="2024-04-23T00:00:00"/>
    <d v="2024-08-19T00:00:00"/>
    <s v="Multiple"/>
    <m/>
    <s v="2024 Baja Rancho Cinega Redonda 1 p1"/>
    <s v="Successful"/>
    <x v="0"/>
    <s v="pre"/>
    <s v="pre"/>
    <x v="7"/>
    <d v="2024-05-06T00:00:00"/>
    <d v="2024-05-29T00:00:00"/>
    <s v="ND"/>
    <s v="ND"/>
  </r>
  <r>
    <n v="65446"/>
    <x v="18"/>
    <s v="2024 Baja Rancho Cinega Redonda 1"/>
    <s v="2024 Baja Rancho Cinega Redonda 1"/>
    <d v="2024-04-23T00:00:00"/>
    <d v="2024-08-19T00:00:00"/>
    <s v="Multiple"/>
    <m/>
    <s v="2024 Baja Rancho Cinega Redonda 1 p2"/>
    <s v="Successful"/>
    <x v="1"/>
    <d v="2024-04-24T00:00:00"/>
    <d v="2024-05-13T00:00:00"/>
    <x v="98"/>
    <d v="2024-06-06T00:00:00"/>
    <d v="2024-06-13T00:00:00"/>
    <s v="ND"/>
    <s v="ND"/>
  </r>
  <r>
    <n v="65446"/>
    <x v="18"/>
    <s v="2024 Baja Rancho Cinega Redonda 1"/>
    <s v="2024 Baja Rancho Cinega Redonda 1"/>
    <d v="2024-04-23T00:00:00"/>
    <d v="2024-08-19T00:00:00"/>
    <s v="Multiple"/>
    <m/>
    <s v="2024 Baja Rancho Cinega Redonda 1 p3"/>
    <s v="Successful"/>
    <x v="2"/>
    <d v="2024-06-04T00:00:00"/>
    <d v="2024-06-06T00:00:00"/>
    <x v="99"/>
    <d v="2024-06-26T00:00:00"/>
    <d v="2024-07-16T00:00:00"/>
    <s v="ND"/>
    <s v="ND"/>
  </r>
  <r>
    <n v="65447"/>
    <x v="18"/>
    <s v="2024 Baja Rancho Cinega Redonda 2"/>
    <s v="2024 Baja Rancho Cinega Redonda 2"/>
    <d v="2024-04-23T00:00:00"/>
    <d v="2024-08-01T00:00:00"/>
    <s v="Multiple"/>
    <m/>
    <s v="2024 Baja Rancho Cinega Redonda 2 p1"/>
    <s v="Successful"/>
    <x v="0"/>
    <s v="pre"/>
    <d v="2024-04-17T00:00:00"/>
    <x v="100"/>
    <d v="2024-05-10T00:00:00"/>
    <d v="2024-05-27T00:00:00"/>
    <s v="ND"/>
    <s v="ND"/>
  </r>
  <r>
    <n v="65447"/>
    <x v="18"/>
    <s v="2024 Baja Rancho Cinega Redonda 2"/>
    <s v="2024 Baja Rancho Cinega Redonda 2"/>
    <d v="2024-04-23T00:00:00"/>
    <d v="2024-08-01T00:00:00"/>
    <s v="Multiple"/>
    <m/>
    <s v="2024 Baja Rancho Cinega Redonda 2 p2"/>
    <s v="Successful"/>
    <x v="1"/>
    <d v="2024-05-11T00:00:00"/>
    <d v="2024-05-23T00:00:00"/>
    <x v="101"/>
    <d v="2024-06-12T00:00:00"/>
    <d v="2024-06-21T00:00:00"/>
    <s v="ND"/>
    <s v="ND"/>
  </r>
  <r>
    <n v="65453"/>
    <x v="5"/>
    <s v="2024 Colusa NWR T27.1"/>
    <s v="2024 Colusa NWR T27.1"/>
    <d v="2024-04-24T00:00:00"/>
    <d v="2024-09-03T00:00:00"/>
    <s v="Simple"/>
    <m/>
    <s v="2024 Colusa NWR T27.1 p1"/>
    <s v="Partially Abandoned"/>
    <x v="0"/>
    <d v="2024-05-25T00:00:00"/>
    <d v="2024-05-30T00:00:00"/>
    <x v="102"/>
    <s v="ND"/>
    <s v="ND"/>
    <s v="ND"/>
    <d v="2024-06-19T00:00:00"/>
  </r>
  <r>
    <n v="65454"/>
    <x v="5"/>
    <s v="2024 Colusa NWR T27.2"/>
    <s v="2024 Colusa NWR T27.2"/>
    <d v="2024-04-24T00:00:00"/>
    <d v="2024-08-04T00:00:00"/>
    <s v="No Colony"/>
    <m/>
    <s v="2024 Colusa NWR T27.2 p1"/>
    <s v="No Colony"/>
    <x v="0"/>
    <d v="2024-06-18T00:00:00"/>
    <s v="ND"/>
    <x v="4"/>
    <s v="ND"/>
    <s v="ND"/>
    <s v="ND"/>
    <s v="ND"/>
  </r>
  <r>
    <n v="65456"/>
    <x v="11"/>
    <s v="2024 Kern 1 - check lat lon"/>
    <s v="2024 Kern 1"/>
    <d v="2024-04-08T00:00:00"/>
    <d v="2024-08-12T00:00:00"/>
    <s v="No Colony"/>
    <m/>
    <s v="2024 Kern 1 p1"/>
    <s v="No Colony"/>
    <x v="0"/>
    <s v="ND"/>
    <s v="ND"/>
    <x v="4"/>
    <s v="ND"/>
    <s v="ND"/>
    <s v="ND"/>
    <s v="ND"/>
  </r>
  <r>
    <n v="65471"/>
    <x v="10"/>
    <s v="2024 Panoche Creek Preserve - Dollar Marsh East"/>
    <s v="2024 Panoche Creek Preserve - Dollar Marsh East"/>
    <d v="2024-04-15T00:00:00"/>
    <d v="2024-08-01T00:00:00"/>
    <s v="Simple"/>
    <m/>
    <s v="2024 Panoche Creek Preserve - Dollar Marsh East p1"/>
    <s v="Successful"/>
    <x v="0"/>
    <s v="pre"/>
    <d v="2024-04-17T00:00:00"/>
    <x v="100"/>
    <d v="2024-05-12T00:00:00"/>
    <d v="2024-05-30T00:00:00"/>
    <s v="ND"/>
    <s v="ND"/>
  </r>
  <r>
    <n v="65480"/>
    <x v="12"/>
    <s v="2024 Wind Wolves Preserve - Tevis fix lat lon"/>
    <s v="2024 Wind Wolves Preserve - Tevis"/>
    <d v="2024-04-30T00:00:00"/>
    <d v="2024-09-24T00:00:00"/>
    <s v="Simple"/>
    <m/>
    <s v="2024 Wind Wolves Preserve - Tevis p1"/>
    <s v="Successful"/>
    <x v="0"/>
    <s v="pre"/>
    <s v="pre"/>
    <x v="7"/>
    <d v="2024-05-17T00:00:00"/>
    <d v="2024-06-07T00:00:00"/>
    <s v="ND"/>
    <s v="ND"/>
  </r>
  <r>
    <n v="65481"/>
    <x v="12"/>
    <s v="2024 Wind Wolves Preserve - Los Lobos fix lat lon"/>
    <s v="2024 Wind Wolves Preserve - Los Lobos"/>
    <d v="2024-04-30T00:00:00"/>
    <d v="2024-09-11T00:00:00"/>
    <s v="Asynchronous"/>
    <m/>
    <s v="2024 Wind Wolves Preserve - Los Lobos p1"/>
    <s v="Successful"/>
    <x v="0"/>
    <s v="pre"/>
    <s v="pre"/>
    <x v="7"/>
    <s v="pre"/>
    <d v="2024-06-13T00:00:00"/>
    <s v="ND"/>
    <s v="ND"/>
  </r>
  <r>
    <n v="65482"/>
    <x v="12"/>
    <s v="2024 Wind Wolves Preserve - Pleitito"/>
    <s v="2024 Wind Wolves Preserve - Pleitito"/>
    <d v="2024-04-26T00:00:00"/>
    <d v="2024-08-11T00:00:00"/>
    <s v="Complex"/>
    <s v="Asynchronous, Multiple"/>
    <s v="2024 Wind Wolves Preserve - Pleitito p1"/>
    <s v="Successful"/>
    <x v="0"/>
    <s v="pre"/>
    <s v="pre"/>
    <x v="7"/>
    <d v="2024-04-30T00:00:00"/>
    <d v="2024-05-27T00:00:00"/>
    <s v="ND"/>
    <s v="ND"/>
  </r>
  <r>
    <n v="65482"/>
    <x v="12"/>
    <s v="2024 Wind Wolves Preserve - Pleitito"/>
    <s v="2024 Wind Wolves Preserve - Pleitito"/>
    <d v="2024-04-26T00:00:00"/>
    <d v="2024-08-11T00:00:00"/>
    <s v="Complex"/>
    <s v="Asynchronous, Multiple"/>
    <s v="2024 Wind Wolves Preserve - Pleitito p2"/>
    <s v="Successful"/>
    <x v="1"/>
    <s v="ND"/>
    <d v="2024-05-13T00:00:00"/>
    <x v="98"/>
    <d v="2024-06-11T00:00:00"/>
    <d v="2024-06-16T00:00:00"/>
    <s v="ND"/>
    <s v="ND"/>
  </r>
  <r>
    <n v="65483"/>
    <x v="12"/>
    <s v="2024 Wind Wolves Preserve - Santiago"/>
    <s v="2024 Wind Wolves Preserve - Santiago"/>
    <d v="2024-04-30T00:00:00"/>
    <d v="2024-08-31T00:00:00"/>
    <s v="Asynchronous"/>
    <m/>
    <s v="2024 Wind Wolves Preserve - Santiago p1"/>
    <s v="Successful"/>
    <x v="0"/>
    <s v="pre"/>
    <s v="pre"/>
    <x v="7"/>
    <d v="2024-05-04T00:00:00"/>
    <d v="2024-06-30T00:00:00"/>
    <s v="ND"/>
    <s v="ND"/>
  </r>
  <r>
    <n v="66012"/>
    <x v="15"/>
    <s v="2024 Newberry Springs"/>
    <s v="2024 Newberry Springs"/>
    <d v="2024-05-27T00:00:00"/>
    <d v="2024-06-02T00:00:00"/>
    <s v="Unknown"/>
    <m/>
    <s v="2024 Newberry Springs p1"/>
    <s v="Successful"/>
    <x v="0"/>
    <s v="pre"/>
    <s v="pre"/>
    <x v="7"/>
    <s v="pre"/>
    <s v="post"/>
    <s v="ND"/>
    <s v="ND"/>
  </r>
  <r>
    <n v="77023"/>
    <x v="6"/>
    <s v="2024 North Regional Pond"/>
    <s v="2024 North Regional Pond"/>
    <d v="2024-04-16T00:00:00"/>
    <d v="2024-06-02T00:00:00"/>
    <s v="No Colony"/>
    <m/>
    <s v="2024 North Regional Pond p1"/>
    <s v="No Colony"/>
    <x v="0"/>
    <d v="2024-04-20T00:00:00"/>
    <s v="ND"/>
    <x v="4"/>
    <s v="ND"/>
    <s v="ND"/>
    <s v="ND"/>
    <s v="ND"/>
  </r>
  <r>
    <n v="82621"/>
    <x v="4"/>
    <s v="2018 SJWA WSS"/>
    <s v="2018 SJWA Little Ramona"/>
    <d v="2018-04-02T00:00:00"/>
    <d v="2018-05-01T00:00:00"/>
    <s v="Unknown"/>
    <m/>
    <s v="2018 SJWA Little Ramona p1"/>
    <s v="Abandoned"/>
    <x v="0"/>
    <d v="2018-04-10T00:00:00"/>
    <d v="2018-04-20T00:00:00"/>
    <x v="4"/>
    <s v="ND"/>
    <s v="ND"/>
    <n v="43212"/>
    <s v="ND"/>
  </r>
  <r>
    <m/>
    <x v="20"/>
    <m/>
    <m/>
    <m/>
    <m/>
    <m/>
    <m/>
    <m/>
    <m/>
    <x v="4"/>
    <m/>
    <m/>
    <x v="10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33A983-0241-4575-89CA-E75E0EE87A50}" name="PivotTable9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68" firstHeaderRow="1" firstDataRow="1" firstDataCol="1" rowPageCount="2" colPageCount="1"/>
  <pivotFields count="18">
    <pivotField showAll="0"/>
    <pivotField axis="axisPage" multipleItemSelectionAllowed="1" showAll="0">
      <items count="22">
        <item h="1" x="18"/>
        <item x="6"/>
        <item x="10"/>
        <item h="1" x="5"/>
        <item h="1" x="17"/>
        <item x="1"/>
        <item x="16"/>
        <item x="3"/>
        <item x="19"/>
        <item x="8"/>
        <item h="1" x="14"/>
        <item x="2"/>
        <item h="1" x="9"/>
        <item h="1" x="15"/>
        <item x="4"/>
        <item x="7"/>
        <item x="0"/>
        <item x="11"/>
        <item h="1" x="13"/>
        <item x="12"/>
        <item h="1"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axis="axisRow" showAll="0">
      <items count="105">
        <item x="4"/>
        <item x="72"/>
        <item x="7"/>
        <item x="0"/>
        <item x="1"/>
        <item x="2"/>
        <item x="5"/>
        <item x="3"/>
        <item x="6"/>
        <item x="9"/>
        <item x="12"/>
        <item x="8"/>
        <item x="13"/>
        <item x="14"/>
        <item x="11"/>
        <item x="10"/>
        <item x="15"/>
        <item x="87"/>
        <item x="16"/>
        <item x="22"/>
        <item x="18"/>
        <item x="17"/>
        <item x="19"/>
        <item x="21"/>
        <item x="20"/>
        <item x="31"/>
        <item x="32"/>
        <item x="30"/>
        <item x="37"/>
        <item x="27"/>
        <item x="24"/>
        <item x="26"/>
        <item x="36"/>
        <item x="33"/>
        <item x="23"/>
        <item x="38"/>
        <item x="34"/>
        <item x="28"/>
        <item x="35"/>
        <item x="25"/>
        <item x="29"/>
        <item x="39"/>
        <item x="44"/>
        <item x="42"/>
        <item x="48"/>
        <item x="55"/>
        <item x="51"/>
        <item x="46"/>
        <item x="56"/>
        <item x="52"/>
        <item x="47"/>
        <item x="40"/>
        <item x="53"/>
        <item x="43"/>
        <item x="54"/>
        <item x="49"/>
        <item x="45"/>
        <item x="50"/>
        <item x="41"/>
        <item x="75"/>
        <item x="85"/>
        <item x="59"/>
        <item x="64"/>
        <item x="76"/>
        <item x="84"/>
        <item x="68"/>
        <item x="61"/>
        <item x="70"/>
        <item x="58"/>
        <item x="74"/>
        <item x="57"/>
        <item x="63"/>
        <item x="66"/>
        <item x="83"/>
        <item x="60"/>
        <item x="71"/>
        <item x="80"/>
        <item x="77"/>
        <item x="79"/>
        <item x="73"/>
        <item x="62"/>
        <item x="82"/>
        <item x="65"/>
        <item x="86"/>
        <item x="81"/>
        <item x="67"/>
        <item x="78"/>
        <item x="69"/>
        <item x="95"/>
        <item x="100"/>
        <item x="90"/>
        <item x="88"/>
        <item x="93"/>
        <item x="96"/>
        <item x="98"/>
        <item x="94"/>
        <item x="91"/>
        <item x="101"/>
        <item x="89"/>
        <item x="102"/>
        <item x="99"/>
        <item x="97"/>
        <item x="92"/>
        <item x="103"/>
        <item t="default"/>
      </items>
    </pivotField>
    <pivotField showAll="0"/>
    <pivotField showAll="0"/>
    <pivotField showAll="0"/>
    <pivotField showAll="0"/>
  </pivotFields>
  <rowFields count="1">
    <field x="13"/>
  </rowFields>
  <rowItems count="64">
    <i>
      <x/>
    </i>
    <i>
      <x v="2"/>
    </i>
    <i>
      <x v="3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7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7"/>
    </i>
    <i>
      <x v="28"/>
    </i>
    <i>
      <x v="30"/>
    </i>
    <i>
      <x v="31"/>
    </i>
    <i>
      <x v="32"/>
    </i>
    <i>
      <x v="34"/>
    </i>
    <i>
      <x v="36"/>
    </i>
    <i>
      <x v="38"/>
    </i>
    <i>
      <x v="40"/>
    </i>
    <i>
      <x v="41"/>
    </i>
    <i>
      <x v="43"/>
    </i>
    <i>
      <x v="44"/>
    </i>
    <i>
      <x v="45"/>
    </i>
    <i>
      <x v="46"/>
    </i>
    <i>
      <x v="47"/>
    </i>
    <i>
      <x v="49"/>
    </i>
    <i>
      <x v="52"/>
    </i>
    <i>
      <x v="54"/>
    </i>
    <i>
      <x v="56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9"/>
    </i>
    <i>
      <x v="73"/>
    </i>
    <i>
      <x v="74"/>
    </i>
    <i>
      <x v="75"/>
    </i>
    <i>
      <x v="76"/>
    </i>
    <i>
      <x v="77"/>
    </i>
    <i>
      <x v="78"/>
    </i>
    <i>
      <x v="79"/>
    </i>
    <i>
      <x v="81"/>
    </i>
    <i>
      <x v="84"/>
    </i>
    <i>
      <x v="85"/>
    </i>
    <i>
      <x v="88"/>
    </i>
    <i>
      <x v="89"/>
    </i>
    <i>
      <x v="90"/>
    </i>
    <i>
      <x v="91"/>
    </i>
    <i>
      <x v="96"/>
    </i>
    <i t="grand">
      <x/>
    </i>
  </rowItems>
  <colItems count="1">
    <i/>
  </colItems>
  <pageFields count="2">
    <pageField fld="1" hier="-1"/>
    <pageField fld="10" item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7C94B-4177-4B06-B3FB-93AA4B5EE78A}">
  <dimension ref="A1:X97"/>
  <sheetViews>
    <sheetView tabSelected="1" topLeftCell="E1" workbookViewId="0">
      <selection activeCell="B1" sqref="B1"/>
    </sheetView>
  </sheetViews>
  <sheetFormatPr defaultRowHeight="14.25" x14ac:dyDescent="0.45"/>
  <cols>
    <col min="4" max="4" width="15.1328125" bestFit="1" customWidth="1"/>
    <col min="8" max="24" width="8.9296875" bestFit="1" customWidth="1"/>
  </cols>
  <sheetData>
    <row r="1" spans="1:24" x14ac:dyDescent="0.45">
      <c r="A1" s="4" t="s">
        <v>462</v>
      </c>
      <c r="B1" s="4" t="s">
        <v>460</v>
      </c>
      <c r="C1" t="s">
        <v>463</v>
      </c>
      <c r="D1" t="s">
        <v>464</v>
      </c>
      <c r="E1" t="s">
        <v>461</v>
      </c>
      <c r="H1" t="s">
        <v>465</v>
      </c>
    </row>
    <row r="2" spans="1:24" x14ac:dyDescent="0.45">
      <c r="A2" s="4">
        <v>43582</v>
      </c>
      <c r="B2" s="5">
        <f t="shared" ref="B2:B62" si="0">YEAR(A2)</f>
        <v>2019</v>
      </c>
      <c r="C2">
        <f>A2-DATE(YEAR(A2),1,1)+1</f>
        <v>117</v>
      </c>
      <c r="D2">
        <f t="shared" ref="D2:D62" si="1">IF(C2&lt;90,"",INT((C2-90)/7))</f>
        <v>3</v>
      </c>
      <c r="E2">
        <f>WEEKNUM(A2,1)</f>
        <v>17</v>
      </c>
      <c r="G2" t="s">
        <v>460</v>
      </c>
      <c r="H2">
        <v>0</v>
      </c>
      <c r="I2">
        <v>1</v>
      </c>
      <c r="J2">
        <f>I2+1</f>
        <v>2</v>
      </c>
      <c r="K2">
        <f t="shared" ref="K2:W2" si="2">J2+1</f>
        <v>3</v>
      </c>
      <c r="L2">
        <f t="shared" si="2"/>
        <v>4</v>
      </c>
      <c r="M2">
        <f t="shared" si="2"/>
        <v>5</v>
      </c>
      <c r="N2">
        <f t="shared" si="2"/>
        <v>6</v>
      </c>
      <c r="O2">
        <f t="shared" si="2"/>
        <v>7</v>
      </c>
      <c r="P2">
        <f t="shared" si="2"/>
        <v>8</v>
      </c>
      <c r="Q2">
        <f t="shared" si="2"/>
        <v>9</v>
      </c>
      <c r="R2">
        <f t="shared" si="2"/>
        <v>10</v>
      </c>
      <c r="S2">
        <f t="shared" si="2"/>
        <v>11</v>
      </c>
      <c r="T2">
        <f t="shared" si="2"/>
        <v>12</v>
      </c>
      <c r="U2">
        <f t="shared" si="2"/>
        <v>13</v>
      </c>
      <c r="V2">
        <f t="shared" si="2"/>
        <v>14</v>
      </c>
      <c r="W2">
        <f t="shared" si="2"/>
        <v>15</v>
      </c>
      <c r="X2">
        <v>16</v>
      </c>
    </row>
    <row r="3" spans="1:24" x14ac:dyDescent="0.45">
      <c r="A3" s="4">
        <v>43588</v>
      </c>
      <c r="B3" s="5">
        <f t="shared" si="0"/>
        <v>2019</v>
      </c>
      <c r="C3">
        <f>A3-DATE(YEAR(A3),1,1)+1</f>
        <v>123</v>
      </c>
      <c r="D3">
        <f t="shared" si="1"/>
        <v>4</v>
      </c>
      <c r="E3">
        <f>WEEKNUM(A3,1)</f>
        <v>18</v>
      </c>
      <c r="G3" cm="1">
        <f t="array" ref="G3:G9">_xlfn.UNIQUE(B2:B91)</f>
        <v>2019</v>
      </c>
      <c r="H3" s="6">
        <f>COUNTIFS($B$2:$B$91,$G3,$D$2:$D$91,H$2)/COUNTIF($B$2:$B$91,$G3)</f>
        <v>0</v>
      </c>
      <c r="I3" s="6">
        <f>COUNTIFS($B$2:$B$91,$G3,$D$2:$D$91,I$2)/COUNTIF($B$2:$B$91,$G3)</f>
        <v>0</v>
      </c>
      <c r="J3" s="6">
        <f>COUNTIFS($B$2:$B$91,$G3,$D$2:$D$91,J$2)/COUNTIF($B$2:$B$91,$G3)</f>
        <v>0</v>
      </c>
      <c r="K3" s="6">
        <f>COUNTIFS($B$2:$B$91,$G3,$D$2:$D$91,K$2)/COUNTIF($B$2:$B$91,$G3)</f>
        <v>0.2</v>
      </c>
      <c r="L3" s="6">
        <f>COUNTIFS($B$2:$B$91,$G3,$D$2:$D$91,L$2)/COUNTIF($B$2:$B$91,$G3)</f>
        <v>0.2</v>
      </c>
      <c r="M3" s="6">
        <f>COUNTIFS($B$2:$B$91,$G3,$D$2:$D$91,M$2)/COUNTIF($B$2:$B$91,$G3)</f>
        <v>0.2</v>
      </c>
      <c r="N3" s="6">
        <f>COUNTIFS($B$2:$B$91,$G3,$D$2:$D$91,N$2)/COUNTIF($B$2:$B$91,$G3)</f>
        <v>0</v>
      </c>
      <c r="O3" s="6">
        <f>COUNTIFS($B$2:$B$91,$G3,$D$2:$D$91,O$2)/COUNTIF($B$2:$B$91,$G3)</f>
        <v>0</v>
      </c>
      <c r="P3" s="6">
        <f>COUNTIFS($B$2:$B$91,$G3,$D$2:$D$91,P$2)/COUNTIF($B$2:$B$91,$G3)</f>
        <v>0.4</v>
      </c>
      <c r="Q3" s="6">
        <f>COUNTIFS($B$2:$B$91,$G3,$D$2:$D$91,Q$2)/COUNTIF($B$2:$B$91,$G3)</f>
        <v>0</v>
      </c>
      <c r="R3" s="6">
        <f>COUNTIFS($B$2:$B$91,$G3,$D$2:$D$91,R$2)/COUNTIF($B$2:$B$91,$G3)</f>
        <v>0</v>
      </c>
      <c r="S3" s="6">
        <f>COUNTIFS($B$2:$B$91,$G3,$D$2:$D$91,S$2)/COUNTIF($B$2:$B$91,$G3)</f>
        <v>0</v>
      </c>
      <c r="T3" s="6">
        <f>COUNTIFS($B$2:$B$91,$G3,$D$2:$D$91,T$2)/COUNTIF($B$2:$B$91,$G3)</f>
        <v>0</v>
      </c>
      <c r="U3" s="6">
        <f>COUNTIFS($B$2:$B$91,$G3,$D$2:$D$91,U$2)/COUNTIF($B$2:$B$91,$G3)</f>
        <v>0</v>
      </c>
      <c r="V3" s="6">
        <f>COUNTIFS($B$2:$B$91,$G3,$D$2:$D$91,V$2)/COUNTIF($B$2:$B$91,$G3)</f>
        <v>0</v>
      </c>
      <c r="W3" s="6">
        <f>COUNTIFS($B$2:$B$91,$G3,$D$2:$D$91,W$2)/COUNTIF($B$2:$B$91,$G3)</f>
        <v>0</v>
      </c>
      <c r="X3" s="6">
        <f>COUNTIFS($B$2:$B$91,$G3,$D$2:$D$91,X$2)/COUNTIF($B$2:$B$91,$G3)</f>
        <v>0</v>
      </c>
    </row>
    <row r="4" spans="1:24" x14ac:dyDescent="0.45">
      <c r="A4" s="4">
        <v>43595</v>
      </c>
      <c r="B4" s="5">
        <f t="shared" si="0"/>
        <v>2019</v>
      </c>
      <c r="C4">
        <f>A4-DATE(YEAR(A4),1,1)+1</f>
        <v>130</v>
      </c>
      <c r="D4">
        <f t="shared" si="1"/>
        <v>5</v>
      </c>
      <c r="E4">
        <f>WEEKNUM(A4,1)</f>
        <v>19</v>
      </c>
      <c r="G4">
        <v>2020</v>
      </c>
      <c r="H4" s="6">
        <f>COUNTIFS($B$2:$B$91,$G4,$D$2:$D$91,H$2)/COUNTIF($B$2:$B$91,$G4)</f>
        <v>0</v>
      </c>
      <c r="I4" s="6">
        <f>COUNTIFS($B$2:$B$91,$G4,$D$2:$D$91,I$2)/COUNTIF($B$2:$B$91,$G4)</f>
        <v>0</v>
      </c>
      <c r="J4" s="6">
        <f>COUNTIFS($B$2:$B$91,$G4,$D$2:$D$91,J$2)/COUNTIF($B$2:$B$91,$G4)</f>
        <v>0</v>
      </c>
      <c r="K4" s="6">
        <f>COUNTIFS($B$2:$B$91,$G4,$D$2:$D$91,K$2)/COUNTIF($B$2:$B$91,$G4)</f>
        <v>0.2</v>
      </c>
      <c r="L4" s="6">
        <f>COUNTIFS($B$2:$B$91,$G4,$D$2:$D$91,L$2)/COUNTIF($B$2:$B$91,$G4)</f>
        <v>0.2</v>
      </c>
      <c r="M4" s="6">
        <f>COUNTIFS($B$2:$B$91,$G4,$D$2:$D$91,M$2)/COUNTIF($B$2:$B$91,$G4)</f>
        <v>0.2</v>
      </c>
      <c r="N4" s="6">
        <f>COUNTIFS($B$2:$B$91,$G4,$D$2:$D$91,N$2)/COUNTIF($B$2:$B$91,$G4)</f>
        <v>0</v>
      </c>
      <c r="O4" s="6">
        <f>COUNTIFS($B$2:$B$91,$G4,$D$2:$D$91,O$2)/COUNTIF($B$2:$B$91,$G4)</f>
        <v>0.2</v>
      </c>
      <c r="P4" s="6">
        <f>COUNTIFS($B$2:$B$91,$G4,$D$2:$D$91,P$2)/COUNTIF($B$2:$B$91,$G4)</f>
        <v>0</v>
      </c>
      <c r="Q4" s="6">
        <f>COUNTIFS($B$2:$B$91,$G4,$D$2:$D$91,Q$2)/COUNTIF($B$2:$B$91,$G4)</f>
        <v>0.2</v>
      </c>
      <c r="R4" s="6">
        <f>COUNTIFS($B$2:$B$91,$G4,$D$2:$D$91,R$2)/COUNTIF($B$2:$B$91,$G4)</f>
        <v>0</v>
      </c>
      <c r="S4" s="6">
        <f>COUNTIFS($B$2:$B$91,$G4,$D$2:$D$91,S$2)/COUNTIF($B$2:$B$91,$G4)</f>
        <v>0</v>
      </c>
      <c r="T4" s="6">
        <f>COUNTIFS($B$2:$B$91,$G4,$D$2:$D$91,T$2)/COUNTIF($B$2:$B$91,$G4)</f>
        <v>0</v>
      </c>
      <c r="U4" s="6">
        <f>COUNTIFS($B$2:$B$91,$G4,$D$2:$D$91,U$2)/COUNTIF($B$2:$B$91,$G4)</f>
        <v>0</v>
      </c>
      <c r="V4" s="6">
        <f>COUNTIFS($B$2:$B$91,$G4,$D$2:$D$91,V$2)/COUNTIF($B$2:$B$91,$G4)</f>
        <v>0</v>
      </c>
      <c r="W4" s="6">
        <f>COUNTIFS($B$2:$B$91,$G4,$D$2:$D$91,W$2)/COUNTIF($B$2:$B$91,$G4)</f>
        <v>0</v>
      </c>
      <c r="X4" s="6">
        <f>COUNTIFS($B$2:$B$91,$G4,$D$2:$D$91,X$2)/COUNTIF($B$2:$B$91,$G4)</f>
        <v>0</v>
      </c>
    </row>
    <row r="5" spans="1:24" x14ac:dyDescent="0.45">
      <c r="A5" s="4">
        <v>43613</v>
      </c>
      <c r="B5" s="5">
        <f t="shared" si="0"/>
        <v>2019</v>
      </c>
      <c r="C5">
        <f>A5-DATE(YEAR(A5),1,1)+1</f>
        <v>148</v>
      </c>
      <c r="D5">
        <f t="shared" si="1"/>
        <v>8</v>
      </c>
      <c r="E5">
        <f>WEEKNUM(A5,1)</f>
        <v>22</v>
      </c>
      <c r="G5">
        <v>2021</v>
      </c>
      <c r="H5" s="6">
        <f>COUNTIFS($B$2:$B$91,$G5,$D$2:$D$91,H$2)/COUNTIF($B$2:$B$91,$G5)</f>
        <v>0</v>
      </c>
      <c r="I5" s="6">
        <f>COUNTIFS($B$2:$B$91,$G5,$D$2:$D$91,I$2)/COUNTIF($B$2:$B$91,$G5)</f>
        <v>0</v>
      </c>
      <c r="J5" s="6">
        <f>COUNTIFS($B$2:$B$91,$G5,$D$2:$D$91,J$2)/COUNTIF($B$2:$B$91,$G5)</f>
        <v>0</v>
      </c>
      <c r="K5" s="6">
        <f>COUNTIFS($B$2:$B$91,$G5,$D$2:$D$91,K$2)/COUNTIF($B$2:$B$91,$G5)</f>
        <v>7.6923076923076927E-2</v>
      </c>
      <c r="L5" s="6">
        <f>COUNTIFS($B$2:$B$91,$G5,$D$2:$D$91,L$2)/COUNTIF($B$2:$B$91,$G5)</f>
        <v>0.30769230769230771</v>
      </c>
      <c r="M5" s="6">
        <f>COUNTIFS($B$2:$B$91,$G5,$D$2:$D$91,M$2)/COUNTIF($B$2:$B$91,$G5)</f>
        <v>7.6923076923076927E-2</v>
      </c>
      <c r="N5" s="6">
        <f>COUNTIFS($B$2:$B$91,$G5,$D$2:$D$91,N$2)/COUNTIF($B$2:$B$91,$G5)</f>
        <v>0.23076923076923078</v>
      </c>
      <c r="O5" s="6">
        <f>COUNTIFS($B$2:$B$91,$G5,$D$2:$D$91,O$2)/COUNTIF($B$2:$B$91,$G5)</f>
        <v>0</v>
      </c>
      <c r="P5" s="6">
        <f>COUNTIFS($B$2:$B$91,$G5,$D$2:$D$91,P$2)/COUNTIF($B$2:$B$91,$G5)</f>
        <v>0.15384615384615385</v>
      </c>
      <c r="Q5" s="6">
        <f>COUNTIFS($B$2:$B$91,$G5,$D$2:$D$91,Q$2)/COUNTIF($B$2:$B$91,$G5)</f>
        <v>0</v>
      </c>
      <c r="R5" s="6">
        <f>COUNTIFS($B$2:$B$91,$G5,$D$2:$D$91,R$2)/COUNTIF($B$2:$B$91,$G5)</f>
        <v>0.15384615384615385</v>
      </c>
      <c r="S5" s="6">
        <f>COUNTIFS($B$2:$B$91,$G5,$D$2:$D$91,S$2)/COUNTIF($B$2:$B$91,$G5)</f>
        <v>0</v>
      </c>
      <c r="T5" s="6">
        <f>COUNTIFS($B$2:$B$91,$G5,$D$2:$D$91,T$2)/COUNTIF($B$2:$B$91,$G5)</f>
        <v>0</v>
      </c>
      <c r="U5" s="6">
        <f>COUNTIFS($B$2:$B$91,$G5,$D$2:$D$91,U$2)/COUNTIF($B$2:$B$91,$G5)</f>
        <v>0</v>
      </c>
      <c r="V5" s="6">
        <f>COUNTIFS($B$2:$B$91,$G5,$D$2:$D$91,V$2)/COUNTIF($B$2:$B$91,$G5)</f>
        <v>0</v>
      </c>
      <c r="W5" s="6">
        <f>COUNTIFS($B$2:$B$91,$G5,$D$2:$D$91,W$2)/COUNTIF($B$2:$B$91,$G5)</f>
        <v>0</v>
      </c>
      <c r="X5" s="6">
        <f>COUNTIFS($B$2:$B$91,$G5,$D$2:$D$91,X$2)/COUNTIF($B$2:$B$91,$G5)</f>
        <v>0</v>
      </c>
    </row>
    <row r="6" spans="1:24" x14ac:dyDescent="0.45">
      <c r="A6" s="4">
        <v>43616</v>
      </c>
      <c r="B6" s="5">
        <f t="shared" si="0"/>
        <v>2019</v>
      </c>
      <c r="C6">
        <f>A6-DATE(YEAR(A6),1,1)+1</f>
        <v>151</v>
      </c>
      <c r="D6">
        <f t="shared" si="1"/>
        <v>8</v>
      </c>
      <c r="E6">
        <f>WEEKNUM(A6,1)</f>
        <v>22</v>
      </c>
      <c r="G6">
        <v>2022</v>
      </c>
      <c r="H6" s="6">
        <f>COUNTIFS($B$2:$B$91,$G6,$D$2:$D$91,H$2)/COUNTIF($B$2:$B$91,$G6)</f>
        <v>0</v>
      </c>
      <c r="I6" s="6">
        <f>COUNTIFS($B$2:$B$91,$G6,$D$2:$D$91,I$2)/COUNTIF($B$2:$B$91,$G6)</f>
        <v>0.1</v>
      </c>
      <c r="J6" s="6">
        <f>COUNTIFS($B$2:$B$91,$G6,$D$2:$D$91,J$2)/COUNTIF($B$2:$B$91,$G6)</f>
        <v>0.4</v>
      </c>
      <c r="K6" s="6">
        <f>COUNTIFS($B$2:$B$91,$G6,$D$2:$D$91,K$2)/COUNTIF($B$2:$B$91,$G6)</f>
        <v>0.1</v>
      </c>
      <c r="L6" s="6">
        <f>COUNTIFS($B$2:$B$91,$G6,$D$2:$D$91,L$2)/COUNTIF($B$2:$B$91,$G6)</f>
        <v>0.1</v>
      </c>
      <c r="M6" s="6">
        <f>COUNTIFS($B$2:$B$91,$G6,$D$2:$D$91,M$2)/COUNTIF($B$2:$B$91,$G6)</f>
        <v>0</v>
      </c>
      <c r="N6" s="6">
        <f>COUNTIFS($B$2:$B$91,$G6,$D$2:$D$91,N$2)/COUNTIF($B$2:$B$91,$G6)</f>
        <v>0</v>
      </c>
      <c r="O6" s="6">
        <f>COUNTIFS($B$2:$B$91,$G6,$D$2:$D$91,O$2)/COUNTIF($B$2:$B$91,$G6)</f>
        <v>0.2</v>
      </c>
      <c r="P6" s="6">
        <f>COUNTIFS($B$2:$B$91,$G6,$D$2:$D$91,P$2)/COUNTIF($B$2:$B$91,$G6)</f>
        <v>0.1</v>
      </c>
      <c r="Q6" s="6">
        <f>COUNTIFS($B$2:$B$91,$G6,$D$2:$D$91,Q$2)/COUNTIF($B$2:$B$91,$G6)</f>
        <v>0</v>
      </c>
      <c r="R6" s="6">
        <f>COUNTIFS($B$2:$B$91,$G6,$D$2:$D$91,R$2)/COUNTIF($B$2:$B$91,$G6)</f>
        <v>0</v>
      </c>
      <c r="S6" s="6">
        <f>COUNTIFS($B$2:$B$91,$G6,$D$2:$D$91,S$2)/COUNTIF($B$2:$B$91,$G6)</f>
        <v>0</v>
      </c>
      <c r="T6" s="6">
        <f>COUNTIFS($B$2:$B$91,$G6,$D$2:$D$91,T$2)/COUNTIF($B$2:$B$91,$G6)</f>
        <v>0</v>
      </c>
      <c r="U6" s="6">
        <f>COUNTIFS($B$2:$B$91,$G6,$D$2:$D$91,U$2)/COUNTIF($B$2:$B$91,$G6)</f>
        <v>0</v>
      </c>
      <c r="V6" s="6">
        <f>COUNTIFS($B$2:$B$91,$G6,$D$2:$D$91,V$2)/COUNTIF($B$2:$B$91,$G6)</f>
        <v>0</v>
      </c>
      <c r="W6" s="6">
        <f>COUNTIFS($B$2:$B$91,$G6,$D$2:$D$91,W$2)/COUNTIF($B$2:$B$91,$G6)</f>
        <v>0</v>
      </c>
      <c r="X6" s="6">
        <f>COUNTIFS($B$2:$B$91,$G6,$D$2:$D$91,X$2)/COUNTIF($B$2:$B$91,$G6)</f>
        <v>0</v>
      </c>
    </row>
    <row r="7" spans="1:24" x14ac:dyDescent="0.45">
      <c r="A7" s="4">
        <v>43945</v>
      </c>
      <c r="B7" s="5">
        <f t="shared" si="0"/>
        <v>2020</v>
      </c>
      <c r="C7">
        <f>A7-DATE(YEAR(A7),1,1)+1</f>
        <v>115</v>
      </c>
      <c r="D7">
        <f t="shared" si="1"/>
        <v>3</v>
      </c>
      <c r="E7">
        <f>WEEKNUM(A7,1)</f>
        <v>17</v>
      </c>
      <c r="G7">
        <v>2023</v>
      </c>
      <c r="H7" s="6">
        <f>COUNTIFS($B$2:$B$91,$G7,$D$2:$D$91,H$2)/COUNTIF($B$2:$B$91,$G7)</f>
        <v>0</v>
      </c>
      <c r="I7" s="6">
        <f>COUNTIFS($B$2:$B$91,$G7,$D$2:$D$91,I$2)/COUNTIF($B$2:$B$91,$G7)</f>
        <v>0</v>
      </c>
      <c r="J7" s="6">
        <f>COUNTIFS($B$2:$B$91,$G7,$D$2:$D$91,J$2)/COUNTIF($B$2:$B$91,$G7)</f>
        <v>5.2631578947368418E-2</v>
      </c>
      <c r="K7" s="6">
        <f>COUNTIFS($B$2:$B$91,$G7,$D$2:$D$91,K$2)/COUNTIF($B$2:$B$91,$G7)</f>
        <v>5.2631578947368418E-2</v>
      </c>
      <c r="L7" s="6">
        <f>COUNTIFS($B$2:$B$91,$G7,$D$2:$D$91,L$2)/COUNTIF($B$2:$B$91,$G7)</f>
        <v>0.15789473684210525</v>
      </c>
      <c r="M7" s="6">
        <f>COUNTIFS($B$2:$B$91,$G7,$D$2:$D$91,M$2)/COUNTIF($B$2:$B$91,$G7)</f>
        <v>0.15789473684210525</v>
      </c>
      <c r="N7" s="6">
        <f>COUNTIFS($B$2:$B$91,$G7,$D$2:$D$91,N$2)/COUNTIF($B$2:$B$91,$G7)</f>
        <v>5.2631578947368418E-2</v>
      </c>
      <c r="O7" s="6">
        <f>COUNTIFS($B$2:$B$91,$G7,$D$2:$D$91,O$2)/COUNTIF($B$2:$B$91,$G7)</f>
        <v>0</v>
      </c>
      <c r="P7" s="6">
        <f>COUNTIFS($B$2:$B$91,$G7,$D$2:$D$91,P$2)/COUNTIF($B$2:$B$91,$G7)</f>
        <v>0.10526315789473684</v>
      </c>
      <c r="Q7" s="6">
        <f>COUNTIFS($B$2:$B$91,$G7,$D$2:$D$91,Q$2)/COUNTIF($B$2:$B$91,$G7)</f>
        <v>0.15789473684210525</v>
      </c>
      <c r="R7" s="6">
        <f>COUNTIFS($B$2:$B$91,$G7,$D$2:$D$91,R$2)/COUNTIF($B$2:$B$91,$G7)</f>
        <v>0.10526315789473684</v>
      </c>
      <c r="S7" s="6">
        <f>COUNTIFS($B$2:$B$91,$G7,$D$2:$D$91,S$2)/COUNTIF($B$2:$B$91,$G7)</f>
        <v>5.2631578947368418E-2</v>
      </c>
      <c r="T7" s="6">
        <f>COUNTIFS($B$2:$B$91,$G7,$D$2:$D$91,T$2)/COUNTIF($B$2:$B$91,$G7)</f>
        <v>5.2631578947368418E-2</v>
      </c>
      <c r="U7" s="6">
        <f>COUNTIFS($B$2:$B$91,$G7,$D$2:$D$91,U$2)/COUNTIF($B$2:$B$91,$G7)</f>
        <v>5.2631578947368418E-2</v>
      </c>
      <c r="V7" s="6">
        <f>COUNTIFS($B$2:$B$91,$G7,$D$2:$D$91,V$2)/COUNTIF($B$2:$B$91,$G7)</f>
        <v>0</v>
      </c>
      <c r="W7" s="6">
        <f>COUNTIFS($B$2:$B$91,$G7,$D$2:$D$91,W$2)/COUNTIF($B$2:$B$91,$G7)</f>
        <v>0</v>
      </c>
      <c r="X7" s="6">
        <f>COUNTIFS($B$2:$B$91,$G7,$D$2:$D$91,X$2)/COUNTIF($B$2:$B$91,$G7)</f>
        <v>0</v>
      </c>
    </row>
    <row r="8" spans="1:24" x14ac:dyDescent="0.45">
      <c r="A8" s="4">
        <v>43948</v>
      </c>
      <c r="B8" s="5">
        <f t="shared" si="0"/>
        <v>2020</v>
      </c>
      <c r="C8">
        <f>A8-DATE(YEAR(A8),1,1)+1</f>
        <v>118</v>
      </c>
      <c r="D8">
        <f t="shared" si="1"/>
        <v>4</v>
      </c>
      <c r="E8">
        <f>WEEKNUM(A8,1)</f>
        <v>18</v>
      </c>
      <c r="G8">
        <v>2024</v>
      </c>
      <c r="H8" s="6">
        <f>COUNTIFS($B$2:$B$91,$G8,$D$2:$D$91,H$2)/COUNTIF($B$2:$B$91,$G8)</f>
        <v>0</v>
      </c>
      <c r="I8" s="6">
        <f>COUNTIFS($B$2:$B$91,$G8,$D$2:$D$91,I$2)/COUNTIF($B$2:$B$91,$G8)</f>
        <v>0</v>
      </c>
      <c r="J8" s="6">
        <f>COUNTIFS($B$2:$B$91,$G8,$D$2:$D$91,J$2)/COUNTIF($B$2:$B$91,$G8)</f>
        <v>0</v>
      </c>
      <c r="K8" s="6">
        <f>COUNTIFS($B$2:$B$91,$G8,$D$2:$D$91,K$2)/COUNTIF($B$2:$B$91,$G8)</f>
        <v>0.2</v>
      </c>
      <c r="L8" s="6">
        <f>COUNTIFS($B$2:$B$91,$G8,$D$2:$D$91,L$2)/COUNTIF($B$2:$B$91,$G8)</f>
        <v>0.4</v>
      </c>
      <c r="M8" s="6">
        <f>COUNTIFS($B$2:$B$91,$G8,$D$2:$D$91,M$2)/COUNTIF($B$2:$B$91,$G8)</f>
        <v>0.2</v>
      </c>
      <c r="N8" s="6">
        <f>COUNTIFS($B$2:$B$91,$G8,$D$2:$D$91,N$2)/COUNTIF($B$2:$B$91,$G8)</f>
        <v>0</v>
      </c>
      <c r="O8" s="6">
        <f>COUNTIFS($B$2:$B$91,$G8,$D$2:$D$91,O$2)/COUNTIF($B$2:$B$91,$G8)</f>
        <v>0</v>
      </c>
      <c r="P8" s="6">
        <f>COUNTIFS($B$2:$B$91,$G8,$D$2:$D$91,P$2)/COUNTIF($B$2:$B$91,$G8)</f>
        <v>0.2</v>
      </c>
      <c r="Q8" s="6">
        <f>COUNTIFS($B$2:$B$91,$G8,$D$2:$D$91,Q$2)/COUNTIF($B$2:$B$91,$G8)</f>
        <v>0</v>
      </c>
      <c r="R8" s="6">
        <f>COUNTIFS($B$2:$B$91,$G8,$D$2:$D$91,R$2)/COUNTIF($B$2:$B$91,$G8)</f>
        <v>0</v>
      </c>
      <c r="S8" s="6">
        <f>COUNTIFS($B$2:$B$91,$G8,$D$2:$D$91,S$2)/COUNTIF($B$2:$B$91,$G8)</f>
        <v>0</v>
      </c>
      <c r="T8" s="6">
        <f>COUNTIFS($B$2:$B$91,$G8,$D$2:$D$91,T$2)/COUNTIF($B$2:$B$91,$G8)</f>
        <v>0</v>
      </c>
      <c r="U8" s="6">
        <f>COUNTIFS($B$2:$B$91,$G8,$D$2:$D$91,U$2)/COUNTIF($B$2:$B$91,$G8)</f>
        <v>0</v>
      </c>
      <c r="V8" s="6">
        <f>COUNTIFS($B$2:$B$91,$G8,$D$2:$D$91,V$2)/COUNTIF($B$2:$B$91,$G8)</f>
        <v>0</v>
      </c>
      <c r="W8" s="6">
        <f>COUNTIFS($B$2:$B$91,$G8,$D$2:$D$91,W$2)/COUNTIF($B$2:$B$91,$G8)</f>
        <v>0</v>
      </c>
      <c r="X8" s="6">
        <f>COUNTIFS($B$2:$B$91,$G8,$D$2:$D$91,X$2)/COUNTIF($B$2:$B$91,$G8)</f>
        <v>0</v>
      </c>
    </row>
    <row r="9" spans="1:24" x14ac:dyDescent="0.45">
      <c r="A9" s="4">
        <v>43955</v>
      </c>
      <c r="B9" s="5">
        <f t="shared" si="0"/>
        <v>2020</v>
      </c>
      <c r="C9">
        <f>A9-DATE(YEAR(A9),1,1)+1</f>
        <v>125</v>
      </c>
      <c r="D9">
        <f t="shared" si="1"/>
        <v>5</v>
      </c>
      <c r="E9">
        <f>WEEKNUM(A9,1)</f>
        <v>19</v>
      </c>
      <c r="G9">
        <v>0</v>
      </c>
    </row>
    <row r="10" spans="1:24" x14ac:dyDescent="0.45">
      <c r="A10" s="4">
        <v>43970</v>
      </c>
      <c r="B10" s="5">
        <f t="shared" si="0"/>
        <v>2020</v>
      </c>
      <c r="C10">
        <f>A10-DATE(YEAR(A10),1,1)+1</f>
        <v>140</v>
      </c>
      <c r="D10">
        <f t="shared" si="1"/>
        <v>7</v>
      </c>
      <c r="E10">
        <f>WEEKNUM(A10,1)</f>
        <v>21</v>
      </c>
      <c r="H10" s="7">
        <f>DATE($G3,1,1)+((H$2*7)+90)</f>
        <v>43556</v>
      </c>
      <c r="I10" s="7">
        <f t="shared" ref="I10:X15" si="3">DATE($G3,1,1)+((I$2*7)+90)</f>
        <v>43563</v>
      </c>
      <c r="J10" s="7">
        <f t="shared" si="3"/>
        <v>43570</v>
      </c>
      <c r="K10" s="7">
        <f t="shared" si="3"/>
        <v>43577</v>
      </c>
      <c r="L10" s="7">
        <f t="shared" si="3"/>
        <v>43584</v>
      </c>
      <c r="M10" s="7">
        <f t="shared" si="3"/>
        <v>43591</v>
      </c>
      <c r="N10" s="7">
        <f t="shared" si="3"/>
        <v>43598</v>
      </c>
      <c r="O10" s="7">
        <f t="shared" si="3"/>
        <v>43605</v>
      </c>
      <c r="P10" s="7">
        <f t="shared" si="3"/>
        <v>43612</v>
      </c>
      <c r="Q10" s="7">
        <f t="shared" si="3"/>
        <v>43619</v>
      </c>
      <c r="R10" s="7">
        <f t="shared" si="3"/>
        <v>43626</v>
      </c>
      <c r="S10" s="7">
        <f t="shared" si="3"/>
        <v>43633</v>
      </c>
      <c r="T10" s="7">
        <f t="shared" si="3"/>
        <v>43640</v>
      </c>
      <c r="U10" s="7">
        <f t="shared" si="3"/>
        <v>43647</v>
      </c>
      <c r="V10" s="7">
        <f t="shared" si="3"/>
        <v>43654</v>
      </c>
      <c r="W10" s="7">
        <f t="shared" si="3"/>
        <v>43661</v>
      </c>
      <c r="X10" s="7">
        <f t="shared" si="3"/>
        <v>43668</v>
      </c>
    </row>
    <row r="11" spans="1:24" x14ac:dyDescent="0.45">
      <c r="A11" s="4">
        <v>43988</v>
      </c>
      <c r="B11" s="5">
        <f t="shared" si="0"/>
        <v>2020</v>
      </c>
      <c r="C11">
        <f>A11-DATE(YEAR(A11),1,1)+1</f>
        <v>158</v>
      </c>
      <c r="D11">
        <f t="shared" si="1"/>
        <v>9</v>
      </c>
      <c r="E11">
        <f>WEEKNUM(A11,1)</f>
        <v>23</v>
      </c>
      <c r="H11" s="7">
        <f t="shared" ref="H11:W15" si="4">DATE($G4,1,1)+((H$2*7)+90)</f>
        <v>43921</v>
      </c>
      <c r="I11" s="7">
        <f t="shared" si="4"/>
        <v>43928</v>
      </c>
      <c r="J11" s="7">
        <f t="shared" si="4"/>
        <v>43935</v>
      </c>
      <c r="K11" s="7">
        <f t="shared" si="4"/>
        <v>43942</v>
      </c>
      <c r="L11" s="7">
        <f t="shared" si="4"/>
        <v>43949</v>
      </c>
      <c r="M11" s="7">
        <f t="shared" si="4"/>
        <v>43956</v>
      </c>
      <c r="N11" s="7">
        <f t="shared" si="4"/>
        <v>43963</v>
      </c>
      <c r="O11" s="7">
        <f t="shared" si="4"/>
        <v>43970</v>
      </c>
      <c r="P11" s="7">
        <f t="shared" si="4"/>
        <v>43977</v>
      </c>
      <c r="Q11" s="7">
        <f t="shared" si="4"/>
        <v>43984</v>
      </c>
      <c r="R11" s="7">
        <f t="shared" si="4"/>
        <v>43991</v>
      </c>
      <c r="S11" s="7">
        <f t="shared" si="4"/>
        <v>43998</v>
      </c>
      <c r="T11" s="7">
        <f t="shared" si="4"/>
        <v>44005</v>
      </c>
      <c r="U11" s="7">
        <f t="shared" si="4"/>
        <v>44012</v>
      </c>
      <c r="V11" s="7">
        <f t="shared" si="4"/>
        <v>44019</v>
      </c>
      <c r="W11" s="7">
        <f t="shared" si="4"/>
        <v>44026</v>
      </c>
      <c r="X11" s="7">
        <f t="shared" si="3"/>
        <v>44033</v>
      </c>
    </row>
    <row r="12" spans="1:24" x14ac:dyDescent="0.45">
      <c r="A12" s="4">
        <v>44310</v>
      </c>
      <c r="B12" s="5">
        <f t="shared" si="0"/>
        <v>2021</v>
      </c>
      <c r="C12">
        <f>A12-DATE(YEAR(A12),1,1)+1</f>
        <v>114</v>
      </c>
      <c r="D12">
        <f t="shared" si="1"/>
        <v>3</v>
      </c>
      <c r="E12">
        <f>WEEKNUM(A12,1)</f>
        <v>17</v>
      </c>
      <c r="H12" s="7">
        <f t="shared" si="4"/>
        <v>44287</v>
      </c>
      <c r="I12" s="7">
        <f t="shared" si="3"/>
        <v>44294</v>
      </c>
      <c r="J12" s="7">
        <f t="shared" si="3"/>
        <v>44301</v>
      </c>
      <c r="K12" s="7">
        <f t="shared" si="3"/>
        <v>44308</v>
      </c>
      <c r="L12" s="7">
        <f t="shared" si="3"/>
        <v>44315</v>
      </c>
      <c r="M12" s="7">
        <f t="shared" si="3"/>
        <v>44322</v>
      </c>
      <c r="N12" s="7">
        <f t="shared" si="3"/>
        <v>44329</v>
      </c>
      <c r="O12" s="7">
        <f t="shared" si="3"/>
        <v>44336</v>
      </c>
      <c r="P12" s="7">
        <f t="shared" si="3"/>
        <v>44343</v>
      </c>
      <c r="Q12" s="7">
        <f t="shared" si="3"/>
        <v>44350</v>
      </c>
      <c r="R12" s="7">
        <f t="shared" si="3"/>
        <v>44357</v>
      </c>
      <c r="S12" s="7">
        <f t="shared" si="3"/>
        <v>44364</v>
      </c>
      <c r="T12" s="7">
        <f t="shared" si="3"/>
        <v>44371</v>
      </c>
      <c r="U12" s="7">
        <f t="shared" si="3"/>
        <v>44378</v>
      </c>
      <c r="V12" s="7">
        <f t="shared" si="3"/>
        <v>44385</v>
      </c>
      <c r="W12" s="7">
        <f t="shared" si="3"/>
        <v>44392</v>
      </c>
      <c r="X12" s="7">
        <f t="shared" si="3"/>
        <v>44399</v>
      </c>
    </row>
    <row r="13" spans="1:24" x14ac:dyDescent="0.45">
      <c r="A13" s="4">
        <v>44314</v>
      </c>
      <c r="B13" s="5">
        <f t="shared" si="0"/>
        <v>2021</v>
      </c>
      <c r="C13">
        <f>A13-DATE(YEAR(A13),1,1)+1</f>
        <v>118</v>
      </c>
      <c r="D13">
        <f t="shared" si="1"/>
        <v>4</v>
      </c>
      <c r="E13">
        <f>WEEKNUM(A13,1)</f>
        <v>18</v>
      </c>
      <c r="H13" s="7">
        <f t="shared" si="4"/>
        <v>44652</v>
      </c>
      <c r="I13" s="7">
        <f t="shared" si="3"/>
        <v>44659</v>
      </c>
      <c r="J13" s="7">
        <f t="shared" si="3"/>
        <v>44666</v>
      </c>
      <c r="K13" s="7">
        <f t="shared" si="3"/>
        <v>44673</v>
      </c>
      <c r="L13" s="7">
        <f t="shared" si="3"/>
        <v>44680</v>
      </c>
      <c r="M13" s="7">
        <f t="shared" si="3"/>
        <v>44687</v>
      </c>
      <c r="N13" s="7">
        <f t="shared" si="3"/>
        <v>44694</v>
      </c>
      <c r="O13" s="7">
        <f t="shared" si="3"/>
        <v>44701</v>
      </c>
      <c r="P13" s="7">
        <f t="shared" si="3"/>
        <v>44708</v>
      </c>
      <c r="Q13" s="7">
        <f t="shared" si="3"/>
        <v>44715</v>
      </c>
      <c r="R13" s="7">
        <f t="shared" si="3"/>
        <v>44722</v>
      </c>
      <c r="S13" s="7">
        <f t="shared" si="3"/>
        <v>44729</v>
      </c>
      <c r="T13" s="7">
        <f t="shared" si="3"/>
        <v>44736</v>
      </c>
      <c r="U13" s="7">
        <f t="shared" si="3"/>
        <v>44743</v>
      </c>
      <c r="V13" s="7">
        <f t="shared" si="3"/>
        <v>44750</v>
      </c>
      <c r="W13" s="7">
        <f t="shared" si="3"/>
        <v>44757</v>
      </c>
      <c r="X13" s="7">
        <f t="shared" si="3"/>
        <v>44764</v>
      </c>
    </row>
    <row r="14" spans="1:24" x14ac:dyDescent="0.45">
      <c r="A14" s="4">
        <v>44316</v>
      </c>
      <c r="B14" s="5">
        <f t="shared" si="0"/>
        <v>2021</v>
      </c>
      <c r="C14">
        <f>A14-DATE(YEAR(A14),1,1)+1</f>
        <v>120</v>
      </c>
      <c r="D14">
        <f t="shared" si="1"/>
        <v>4</v>
      </c>
      <c r="E14">
        <f>WEEKNUM(A14,1)</f>
        <v>18</v>
      </c>
      <c r="H14" s="7">
        <f t="shared" si="4"/>
        <v>45017</v>
      </c>
      <c r="I14" s="7">
        <f t="shared" si="3"/>
        <v>45024</v>
      </c>
      <c r="J14" s="7">
        <f t="shared" si="3"/>
        <v>45031</v>
      </c>
      <c r="K14" s="7">
        <f t="shared" si="3"/>
        <v>45038</v>
      </c>
      <c r="L14" s="7">
        <f t="shared" si="3"/>
        <v>45045</v>
      </c>
      <c r="M14" s="7">
        <f t="shared" si="3"/>
        <v>45052</v>
      </c>
      <c r="N14" s="7">
        <f t="shared" si="3"/>
        <v>45059</v>
      </c>
      <c r="O14" s="7">
        <f t="shared" si="3"/>
        <v>45066</v>
      </c>
      <c r="P14" s="7">
        <f t="shared" si="3"/>
        <v>45073</v>
      </c>
      <c r="Q14" s="7">
        <f t="shared" si="3"/>
        <v>45080</v>
      </c>
      <c r="R14" s="7">
        <f t="shared" si="3"/>
        <v>45087</v>
      </c>
      <c r="S14" s="7">
        <f t="shared" si="3"/>
        <v>45094</v>
      </c>
      <c r="T14" s="7">
        <f t="shared" si="3"/>
        <v>45101</v>
      </c>
      <c r="U14" s="7">
        <f t="shared" si="3"/>
        <v>45108</v>
      </c>
      <c r="V14" s="7">
        <f t="shared" si="3"/>
        <v>45115</v>
      </c>
      <c r="W14" s="7">
        <f t="shared" si="3"/>
        <v>45122</v>
      </c>
      <c r="X14" s="7">
        <f t="shared" si="3"/>
        <v>45129</v>
      </c>
    </row>
    <row r="15" spans="1:24" x14ac:dyDescent="0.45">
      <c r="A15" s="4">
        <v>44317</v>
      </c>
      <c r="B15" s="5">
        <f t="shared" si="0"/>
        <v>2021</v>
      </c>
      <c r="C15">
        <f>A15-DATE(YEAR(A15),1,1)+1</f>
        <v>121</v>
      </c>
      <c r="D15">
        <f t="shared" si="1"/>
        <v>4</v>
      </c>
      <c r="E15">
        <f>WEEKNUM(A15,1)</f>
        <v>18</v>
      </c>
      <c r="H15" s="7">
        <f t="shared" si="4"/>
        <v>45382</v>
      </c>
      <c r="I15" s="7">
        <f t="shared" si="3"/>
        <v>45389</v>
      </c>
      <c r="J15" s="7">
        <f t="shared" si="3"/>
        <v>45396</v>
      </c>
      <c r="K15" s="7">
        <f t="shared" si="3"/>
        <v>45403</v>
      </c>
      <c r="L15" s="7">
        <f t="shared" si="3"/>
        <v>45410</v>
      </c>
      <c r="M15" s="7">
        <f t="shared" si="3"/>
        <v>45417</v>
      </c>
      <c r="N15" s="7">
        <f t="shared" si="3"/>
        <v>45424</v>
      </c>
      <c r="O15" s="7">
        <f t="shared" si="3"/>
        <v>45431</v>
      </c>
      <c r="P15" s="7">
        <f t="shared" si="3"/>
        <v>45438</v>
      </c>
      <c r="Q15" s="7">
        <f t="shared" si="3"/>
        <v>45445</v>
      </c>
      <c r="R15" s="7">
        <f t="shared" si="3"/>
        <v>45452</v>
      </c>
      <c r="S15" s="7">
        <f t="shared" si="3"/>
        <v>45459</v>
      </c>
      <c r="T15" s="7">
        <f t="shared" si="3"/>
        <v>45466</v>
      </c>
      <c r="U15" s="7">
        <f t="shared" si="3"/>
        <v>45473</v>
      </c>
      <c r="V15" s="7">
        <f t="shared" si="3"/>
        <v>45480</v>
      </c>
      <c r="W15" s="7">
        <f t="shared" si="3"/>
        <v>45487</v>
      </c>
      <c r="X15" s="7">
        <f t="shared" si="3"/>
        <v>45494</v>
      </c>
    </row>
    <row r="16" spans="1:24" x14ac:dyDescent="0.45">
      <c r="A16" s="4">
        <v>44318</v>
      </c>
      <c r="B16" s="5">
        <f t="shared" si="0"/>
        <v>2021</v>
      </c>
      <c r="C16">
        <f>A16-DATE(YEAR(A16),1,1)+1</f>
        <v>122</v>
      </c>
      <c r="D16">
        <f t="shared" si="1"/>
        <v>4</v>
      </c>
      <c r="E16">
        <f>WEEKNUM(A16,1)</f>
        <v>19</v>
      </c>
    </row>
    <row r="17" spans="1:5" x14ac:dyDescent="0.45">
      <c r="A17" s="4">
        <v>44324</v>
      </c>
      <c r="B17" s="5">
        <f t="shared" si="0"/>
        <v>2021</v>
      </c>
      <c r="C17">
        <f>A17-DATE(YEAR(A17),1,1)+1</f>
        <v>128</v>
      </c>
      <c r="D17">
        <f t="shared" si="1"/>
        <v>5</v>
      </c>
      <c r="E17">
        <f>WEEKNUM(A17,1)</f>
        <v>19</v>
      </c>
    </row>
    <row r="18" spans="1:5" x14ac:dyDescent="0.45">
      <c r="A18" s="4">
        <v>44328</v>
      </c>
      <c r="B18" s="5">
        <f t="shared" si="0"/>
        <v>2021</v>
      </c>
      <c r="C18">
        <f>A18-DATE(YEAR(A18),1,1)+1</f>
        <v>132</v>
      </c>
      <c r="D18">
        <f t="shared" si="1"/>
        <v>6</v>
      </c>
      <c r="E18">
        <f>WEEKNUM(A18,1)</f>
        <v>20</v>
      </c>
    </row>
    <row r="19" spans="1:5" x14ac:dyDescent="0.45">
      <c r="A19" s="4">
        <v>44330</v>
      </c>
      <c r="B19" s="5">
        <f t="shared" si="0"/>
        <v>2021</v>
      </c>
      <c r="C19">
        <f>A19-DATE(YEAR(A19),1,1)+1</f>
        <v>134</v>
      </c>
      <c r="D19">
        <f t="shared" si="1"/>
        <v>6</v>
      </c>
      <c r="E19">
        <f>WEEKNUM(A19,1)</f>
        <v>20</v>
      </c>
    </row>
    <row r="20" spans="1:5" x14ac:dyDescent="0.45">
      <c r="A20" s="4">
        <v>44334</v>
      </c>
      <c r="B20" s="5">
        <f t="shared" si="0"/>
        <v>2021</v>
      </c>
      <c r="C20">
        <f>A20-DATE(YEAR(A20),1,1)+1</f>
        <v>138</v>
      </c>
      <c r="D20">
        <f t="shared" si="1"/>
        <v>6</v>
      </c>
      <c r="E20">
        <f>WEEKNUM(A20,1)</f>
        <v>21</v>
      </c>
    </row>
    <row r="21" spans="1:5" x14ac:dyDescent="0.45">
      <c r="A21" s="4">
        <v>44342</v>
      </c>
      <c r="B21" s="5">
        <f t="shared" si="0"/>
        <v>2021</v>
      </c>
      <c r="C21">
        <f>A21-DATE(YEAR(A21),1,1)+1</f>
        <v>146</v>
      </c>
      <c r="D21">
        <f t="shared" si="1"/>
        <v>8</v>
      </c>
      <c r="E21">
        <f>WEEKNUM(A21,1)</f>
        <v>22</v>
      </c>
    </row>
    <row r="22" spans="1:5" x14ac:dyDescent="0.45">
      <c r="A22" s="4">
        <v>44347</v>
      </c>
      <c r="B22" s="5">
        <f t="shared" si="0"/>
        <v>2021</v>
      </c>
      <c r="C22">
        <f t="shared" ref="C22:C58" si="5">A22-DATE(YEAR(A22),1,1)+1</f>
        <v>151</v>
      </c>
      <c r="D22">
        <f t="shared" si="1"/>
        <v>8</v>
      </c>
      <c r="E22">
        <f t="shared" ref="E22:E58" si="6">WEEKNUM(A22,1)</f>
        <v>23</v>
      </c>
    </row>
    <row r="23" spans="1:5" x14ac:dyDescent="0.45">
      <c r="A23" s="4">
        <v>44357</v>
      </c>
      <c r="B23" s="5">
        <f t="shared" si="0"/>
        <v>2021</v>
      </c>
      <c r="C23">
        <f t="shared" si="5"/>
        <v>161</v>
      </c>
      <c r="D23">
        <f t="shared" si="1"/>
        <v>10</v>
      </c>
      <c r="E23">
        <f t="shared" si="6"/>
        <v>24</v>
      </c>
    </row>
    <row r="24" spans="1:5" x14ac:dyDescent="0.45">
      <c r="A24" s="4">
        <v>44362</v>
      </c>
      <c r="B24" s="5">
        <f t="shared" si="0"/>
        <v>2021</v>
      </c>
      <c r="C24">
        <f t="shared" si="5"/>
        <v>166</v>
      </c>
      <c r="D24">
        <f t="shared" si="1"/>
        <v>10</v>
      </c>
      <c r="E24">
        <f t="shared" si="6"/>
        <v>25</v>
      </c>
    </row>
    <row r="25" spans="1:5" x14ac:dyDescent="0.45">
      <c r="A25" s="4">
        <v>44663</v>
      </c>
      <c r="B25" s="5">
        <f t="shared" si="0"/>
        <v>2022</v>
      </c>
      <c r="C25">
        <f t="shared" si="5"/>
        <v>102</v>
      </c>
      <c r="D25">
        <f t="shared" si="1"/>
        <v>1</v>
      </c>
      <c r="E25">
        <f t="shared" si="6"/>
        <v>16</v>
      </c>
    </row>
    <row r="26" spans="1:5" x14ac:dyDescent="0.45">
      <c r="A26" s="4">
        <v>44665</v>
      </c>
      <c r="B26" s="5">
        <f t="shared" si="0"/>
        <v>2022</v>
      </c>
      <c r="C26">
        <f t="shared" si="5"/>
        <v>104</v>
      </c>
      <c r="D26">
        <f t="shared" si="1"/>
        <v>2</v>
      </c>
      <c r="E26">
        <f t="shared" si="6"/>
        <v>16</v>
      </c>
    </row>
    <row r="27" spans="1:5" x14ac:dyDescent="0.45">
      <c r="A27" s="4">
        <v>44666</v>
      </c>
      <c r="B27" s="5">
        <f t="shared" si="0"/>
        <v>2022</v>
      </c>
      <c r="C27">
        <f t="shared" si="5"/>
        <v>105</v>
      </c>
      <c r="D27">
        <f t="shared" si="1"/>
        <v>2</v>
      </c>
      <c r="E27">
        <f t="shared" si="6"/>
        <v>16</v>
      </c>
    </row>
    <row r="28" spans="1:5" x14ac:dyDescent="0.45">
      <c r="A28" s="4">
        <v>44670</v>
      </c>
      <c r="B28" s="5">
        <f t="shared" si="0"/>
        <v>2022</v>
      </c>
      <c r="C28">
        <f t="shared" si="5"/>
        <v>109</v>
      </c>
      <c r="D28">
        <f t="shared" si="1"/>
        <v>2</v>
      </c>
      <c r="E28">
        <f t="shared" si="6"/>
        <v>17</v>
      </c>
    </row>
    <row r="29" spans="1:5" x14ac:dyDescent="0.45">
      <c r="A29" s="4">
        <v>44671</v>
      </c>
      <c r="B29" s="5">
        <f t="shared" si="0"/>
        <v>2022</v>
      </c>
      <c r="C29">
        <f t="shared" si="5"/>
        <v>110</v>
      </c>
      <c r="D29">
        <f t="shared" si="1"/>
        <v>2</v>
      </c>
      <c r="E29">
        <f t="shared" si="6"/>
        <v>17</v>
      </c>
    </row>
    <row r="30" spans="1:5" x14ac:dyDescent="0.45">
      <c r="A30" s="4">
        <v>44673</v>
      </c>
      <c r="B30" s="5">
        <f t="shared" si="0"/>
        <v>2022</v>
      </c>
      <c r="C30">
        <f t="shared" si="5"/>
        <v>112</v>
      </c>
      <c r="D30">
        <f t="shared" si="1"/>
        <v>3</v>
      </c>
      <c r="E30">
        <f t="shared" si="6"/>
        <v>17</v>
      </c>
    </row>
    <row r="31" spans="1:5" x14ac:dyDescent="0.45">
      <c r="A31" s="4">
        <v>44683</v>
      </c>
      <c r="B31" s="5">
        <f t="shared" si="0"/>
        <v>2022</v>
      </c>
      <c r="C31">
        <f t="shared" si="5"/>
        <v>122</v>
      </c>
      <c r="D31">
        <f t="shared" si="1"/>
        <v>4</v>
      </c>
      <c r="E31">
        <f t="shared" si="6"/>
        <v>19</v>
      </c>
    </row>
    <row r="32" spans="1:5" x14ac:dyDescent="0.45">
      <c r="A32" s="4">
        <v>44702</v>
      </c>
      <c r="B32" s="5">
        <f t="shared" si="0"/>
        <v>2022</v>
      </c>
      <c r="C32">
        <f t="shared" si="5"/>
        <v>141</v>
      </c>
      <c r="D32">
        <f t="shared" si="1"/>
        <v>7</v>
      </c>
      <c r="E32">
        <f t="shared" si="6"/>
        <v>21</v>
      </c>
    </row>
    <row r="33" spans="1:5" x14ac:dyDescent="0.45">
      <c r="A33" s="4">
        <v>44704</v>
      </c>
      <c r="B33" s="5">
        <f t="shared" si="0"/>
        <v>2022</v>
      </c>
      <c r="C33">
        <f t="shared" si="5"/>
        <v>143</v>
      </c>
      <c r="D33">
        <f t="shared" si="1"/>
        <v>7</v>
      </c>
      <c r="E33">
        <f t="shared" si="6"/>
        <v>22</v>
      </c>
    </row>
    <row r="34" spans="1:5" x14ac:dyDescent="0.45">
      <c r="A34" s="4">
        <v>44707</v>
      </c>
      <c r="B34" s="5">
        <f t="shared" si="0"/>
        <v>2022</v>
      </c>
      <c r="C34">
        <f t="shared" si="5"/>
        <v>146</v>
      </c>
      <c r="D34">
        <f t="shared" si="1"/>
        <v>8</v>
      </c>
      <c r="E34">
        <f t="shared" si="6"/>
        <v>22</v>
      </c>
    </row>
    <row r="35" spans="1:5" x14ac:dyDescent="0.45">
      <c r="A35" s="4">
        <v>45031</v>
      </c>
      <c r="B35" s="5">
        <f t="shared" si="0"/>
        <v>2023</v>
      </c>
      <c r="C35">
        <f t="shared" si="5"/>
        <v>105</v>
      </c>
      <c r="D35">
        <f t="shared" si="1"/>
        <v>2</v>
      </c>
      <c r="E35">
        <f t="shared" si="6"/>
        <v>15</v>
      </c>
    </row>
    <row r="36" spans="1:5" x14ac:dyDescent="0.45">
      <c r="A36" s="4">
        <v>45042</v>
      </c>
      <c r="B36" s="5">
        <f t="shared" si="0"/>
        <v>2023</v>
      </c>
      <c r="C36">
        <f t="shared" si="5"/>
        <v>116</v>
      </c>
      <c r="D36">
        <f t="shared" si="1"/>
        <v>3</v>
      </c>
      <c r="E36">
        <f t="shared" si="6"/>
        <v>17</v>
      </c>
    </row>
    <row r="37" spans="1:5" x14ac:dyDescent="0.45">
      <c r="A37" s="4">
        <v>45044</v>
      </c>
      <c r="B37" s="5">
        <f t="shared" si="0"/>
        <v>2023</v>
      </c>
      <c r="C37">
        <f t="shared" si="5"/>
        <v>118</v>
      </c>
      <c r="D37">
        <f t="shared" si="1"/>
        <v>4</v>
      </c>
      <c r="E37">
        <f t="shared" si="6"/>
        <v>17</v>
      </c>
    </row>
    <row r="38" spans="1:5" x14ac:dyDescent="0.45">
      <c r="A38" s="4">
        <v>45047</v>
      </c>
      <c r="B38" s="5">
        <f t="shared" si="0"/>
        <v>2023</v>
      </c>
      <c r="C38">
        <f t="shared" si="5"/>
        <v>121</v>
      </c>
      <c r="D38">
        <f t="shared" si="1"/>
        <v>4</v>
      </c>
      <c r="E38">
        <f t="shared" si="6"/>
        <v>18</v>
      </c>
    </row>
    <row r="39" spans="1:5" x14ac:dyDescent="0.45">
      <c r="A39" s="4">
        <v>45049</v>
      </c>
      <c r="B39" s="5">
        <f t="shared" si="0"/>
        <v>2023</v>
      </c>
      <c r="C39">
        <f t="shared" si="5"/>
        <v>123</v>
      </c>
      <c r="D39">
        <f t="shared" si="1"/>
        <v>4</v>
      </c>
      <c r="E39">
        <f t="shared" si="6"/>
        <v>18</v>
      </c>
    </row>
    <row r="40" spans="1:5" x14ac:dyDescent="0.45">
      <c r="A40" s="4">
        <v>45051</v>
      </c>
      <c r="B40" s="5">
        <f t="shared" si="0"/>
        <v>2023</v>
      </c>
      <c r="C40">
        <f t="shared" si="5"/>
        <v>125</v>
      </c>
      <c r="D40">
        <f t="shared" si="1"/>
        <v>5</v>
      </c>
      <c r="E40">
        <f t="shared" si="6"/>
        <v>18</v>
      </c>
    </row>
    <row r="41" spans="1:5" x14ac:dyDescent="0.45">
      <c r="A41" s="4">
        <v>45052</v>
      </c>
      <c r="B41" s="5">
        <f t="shared" si="0"/>
        <v>2023</v>
      </c>
      <c r="C41">
        <f t="shared" si="5"/>
        <v>126</v>
      </c>
      <c r="D41">
        <f t="shared" si="1"/>
        <v>5</v>
      </c>
      <c r="E41">
        <f t="shared" si="6"/>
        <v>18</v>
      </c>
    </row>
    <row r="42" spans="1:5" x14ac:dyDescent="0.45">
      <c r="A42" s="4">
        <v>45057</v>
      </c>
      <c r="B42" s="5">
        <f t="shared" si="0"/>
        <v>2023</v>
      </c>
      <c r="C42">
        <f t="shared" si="5"/>
        <v>131</v>
      </c>
      <c r="D42">
        <f t="shared" si="1"/>
        <v>5</v>
      </c>
      <c r="E42">
        <f t="shared" si="6"/>
        <v>19</v>
      </c>
    </row>
    <row r="43" spans="1:5" x14ac:dyDescent="0.45">
      <c r="A43" s="4">
        <v>45062</v>
      </c>
      <c r="B43" s="5">
        <f t="shared" si="0"/>
        <v>2023</v>
      </c>
      <c r="C43">
        <f t="shared" si="5"/>
        <v>136</v>
      </c>
      <c r="D43">
        <f t="shared" si="1"/>
        <v>6</v>
      </c>
      <c r="E43">
        <f t="shared" si="6"/>
        <v>20</v>
      </c>
    </row>
    <row r="44" spans="1:5" x14ac:dyDescent="0.45">
      <c r="A44" s="4">
        <v>45076</v>
      </c>
      <c r="B44" s="5">
        <f t="shared" si="0"/>
        <v>2023</v>
      </c>
      <c r="C44">
        <f t="shared" si="5"/>
        <v>150</v>
      </c>
      <c r="D44">
        <f t="shared" si="1"/>
        <v>8</v>
      </c>
      <c r="E44">
        <f t="shared" si="6"/>
        <v>22</v>
      </c>
    </row>
    <row r="45" spans="1:5" x14ac:dyDescent="0.45">
      <c r="A45" s="4">
        <v>45077</v>
      </c>
      <c r="B45" s="5">
        <f t="shared" si="0"/>
        <v>2023</v>
      </c>
      <c r="C45">
        <f t="shared" si="5"/>
        <v>151</v>
      </c>
      <c r="D45">
        <f t="shared" si="1"/>
        <v>8</v>
      </c>
      <c r="E45">
        <f t="shared" si="6"/>
        <v>22</v>
      </c>
    </row>
    <row r="46" spans="1:5" x14ac:dyDescent="0.45">
      <c r="A46" s="4">
        <v>45083</v>
      </c>
      <c r="B46" s="5">
        <f t="shared" si="0"/>
        <v>2023</v>
      </c>
      <c r="C46">
        <f t="shared" si="5"/>
        <v>157</v>
      </c>
      <c r="D46">
        <f t="shared" si="1"/>
        <v>9</v>
      </c>
      <c r="E46">
        <f t="shared" si="6"/>
        <v>23</v>
      </c>
    </row>
    <row r="47" spans="1:5" x14ac:dyDescent="0.45">
      <c r="A47" s="4">
        <v>45084</v>
      </c>
      <c r="B47" s="5">
        <f t="shared" si="0"/>
        <v>2023</v>
      </c>
      <c r="C47">
        <f t="shared" si="5"/>
        <v>158</v>
      </c>
      <c r="D47">
        <f t="shared" si="1"/>
        <v>9</v>
      </c>
      <c r="E47">
        <f t="shared" si="6"/>
        <v>23</v>
      </c>
    </row>
    <row r="48" spans="1:5" x14ac:dyDescent="0.45">
      <c r="A48" s="4">
        <v>45085</v>
      </c>
      <c r="B48" s="5">
        <f t="shared" si="0"/>
        <v>2023</v>
      </c>
      <c r="C48">
        <f t="shared" si="5"/>
        <v>159</v>
      </c>
      <c r="D48">
        <f t="shared" si="1"/>
        <v>9</v>
      </c>
      <c r="E48">
        <f t="shared" si="6"/>
        <v>23</v>
      </c>
    </row>
    <row r="49" spans="1:5" x14ac:dyDescent="0.45">
      <c r="A49" s="4">
        <v>45088</v>
      </c>
      <c r="B49" s="5">
        <f t="shared" si="0"/>
        <v>2023</v>
      </c>
      <c r="C49">
        <f t="shared" si="5"/>
        <v>162</v>
      </c>
      <c r="D49">
        <f t="shared" si="1"/>
        <v>10</v>
      </c>
      <c r="E49">
        <f t="shared" si="6"/>
        <v>24</v>
      </c>
    </row>
    <row r="50" spans="1:5" x14ac:dyDescent="0.45">
      <c r="A50" s="4">
        <v>45090</v>
      </c>
      <c r="B50" s="5">
        <f t="shared" si="0"/>
        <v>2023</v>
      </c>
      <c r="C50">
        <f t="shared" si="5"/>
        <v>164</v>
      </c>
      <c r="D50">
        <f t="shared" si="1"/>
        <v>10</v>
      </c>
      <c r="E50">
        <f t="shared" si="6"/>
        <v>24</v>
      </c>
    </row>
    <row r="51" spans="1:5" x14ac:dyDescent="0.45">
      <c r="A51" s="4">
        <v>45095</v>
      </c>
      <c r="B51" s="5">
        <f t="shared" si="0"/>
        <v>2023</v>
      </c>
      <c r="C51">
        <f t="shared" si="5"/>
        <v>169</v>
      </c>
      <c r="D51">
        <f t="shared" si="1"/>
        <v>11</v>
      </c>
      <c r="E51">
        <f t="shared" si="6"/>
        <v>25</v>
      </c>
    </row>
    <row r="52" spans="1:5" x14ac:dyDescent="0.45">
      <c r="A52" s="4">
        <v>45105</v>
      </c>
      <c r="B52" s="5">
        <f t="shared" si="0"/>
        <v>2023</v>
      </c>
      <c r="C52">
        <f t="shared" si="5"/>
        <v>179</v>
      </c>
      <c r="D52">
        <f t="shared" si="1"/>
        <v>12</v>
      </c>
      <c r="E52">
        <f t="shared" si="6"/>
        <v>26</v>
      </c>
    </row>
    <row r="53" spans="1:5" x14ac:dyDescent="0.45">
      <c r="A53" s="4">
        <v>45109</v>
      </c>
      <c r="B53" s="5">
        <f t="shared" si="0"/>
        <v>2023</v>
      </c>
      <c r="C53">
        <f t="shared" si="5"/>
        <v>183</v>
      </c>
      <c r="D53">
        <f t="shared" si="1"/>
        <v>13</v>
      </c>
      <c r="E53">
        <f t="shared" si="6"/>
        <v>27</v>
      </c>
    </row>
    <row r="54" spans="1:5" x14ac:dyDescent="0.45">
      <c r="A54" s="4">
        <v>45402</v>
      </c>
      <c r="B54" s="5">
        <f t="shared" si="0"/>
        <v>2024</v>
      </c>
      <c r="C54">
        <f t="shared" si="5"/>
        <v>111</v>
      </c>
      <c r="D54">
        <f t="shared" si="1"/>
        <v>3</v>
      </c>
      <c r="E54">
        <f t="shared" si="6"/>
        <v>16</v>
      </c>
    </row>
    <row r="55" spans="1:5" x14ac:dyDescent="0.45">
      <c r="A55" s="4">
        <v>45411</v>
      </c>
      <c r="B55" s="5">
        <f t="shared" si="0"/>
        <v>2024</v>
      </c>
      <c r="C55">
        <f t="shared" si="5"/>
        <v>120</v>
      </c>
      <c r="D55">
        <f t="shared" si="1"/>
        <v>4</v>
      </c>
      <c r="E55">
        <f t="shared" si="6"/>
        <v>18</v>
      </c>
    </row>
    <row r="56" spans="1:5" x14ac:dyDescent="0.45">
      <c r="A56" s="4">
        <v>45414</v>
      </c>
      <c r="B56" s="5">
        <f t="shared" si="0"/>
        <v>2024</v>
      </c>
      <c r="C56">
        <f t="shared" si="5"/>
        <v>123</v>
      </c>
      <c r="D56">
        <f t="shared" si="1"/>
        <v>4</v>
      </c>
      <c r="E56">
        <f t="shared" si="6"/>
        <v>18</v>
      </c>
    </row>
    <row r="57" spans="1:5" x14ac:dyDescent="0.45">
      <c r="A57" s="4">
        <v>45417</v>
      </c>
      <c r="B57" s="5">
        <f t="shared" si="0"/>
        <v>2024</v>
      </c>
      <c r="C57">
        <f t="shared" si="5"/>
        <v>126</v>
      </c>
      <c r="D57">
        <f t="shared" si="1"/>
        <v>5</v>
      </c>
      <c r="E57">
        <f t="shared" si="6"/>
        <v>19</v>
      </c>
    </row>
    <row r="58" spans="1:5" x14ac:dyDescent="0.45">
      <c r="A58" s="4">
        <v>45443</v>
      </c>
      <c r="B58" s="5">
        <f t="shared" si="0"/>
        <v>2024</v>
      </c>
      <c r="C58">
        <f t="shared" si="5"/>
        <v>152</v>
      </c>
      <c r="D58">
        <f t="shared" si="1"/>
        <v>8</v>
      </c>
      <c r="E58">
        <f t="shared" si="6"/>
        <v>22</v>
      </c>
    </row>
    <row r="59" spans="1:5" x14ac:dyDescent="0.45">
      <c r="A59" s="4"/>
      <c r="B59" s="5"/>
    </row>
    <row r="60" spans="1:5" x14ac:dyDescent="0.45">
      <c r="A60" s="4"/>
      <c r="B60" s="5"/>
    </row>
    <row r="61" spans="1:5" x14ac:dyDescent="0.45">
      <c r="A61" s="4"/>
      <c r="B61" s="5"/>
    </row>
    <row r="62" spans="1:5" x14ac:dyDescent="0.45">
      <c r="A62" s="4"/>
      <c r="B62" s="5"/>
    </row>
    <row r="63" spans="1:5" x14ac:dyDescent="0.45">
      <c r="A63" s="4"/>
      <c r="B63" s="5"/>
    </row>
    <row r="64" spans="1:5" x14ac:dyDescent="0.45">
      <c r="A64" s="4"/>
      <c r="B64" s="5"/>
    </row>
    <row r="65" spans="1:2" x14ac:dyDescent="0.45">
      <c r="A65" s="4"/>
      <c r="B65" s="5"/>
    </row>
    <row r="66" spans="1:2" x14ac:dyDescent="0.45">
      <c r="A66" s="4"/>
      <c r="B66" s="5"/>
    </row>
    <row r="67" spans="1:2" x14ac:dyDescent="0.45">
      <c r="A67" s="4"/>
      <c r="B67" s="5"/>
    </row>
    <row r="68" spans="1:2" x14ac:dyDescent="0.45">
      <c r="A68" s="4"/>
      <c r="B68" s="5"/>
    </row>
    <row r="69" spans="1:2" x14ac:dyDescent="0.45">
      <c r="A69" s="4"/>
      <c r="B69" s="5"/>
    </row>
    <row r="70" spans="1:2" x14ac:dyDescent="0.45">
      <c r="A70" s="4"/>
      <c r="B70" s="5"/>
    </row>
    <row r="71" spans="1:2" x14ac:dyDescent="0.45">
      <c r="A71" s="4"/>
      <c r="B71" s="5"/>
    </row>
    <row r="72" spans="1:2" x14ac:dyDescent="0.45">
      <c r="A72" s="4"/>
      <c r="B72" s="5"/>
    </row>
    <row r="73" spans="1:2" x14ac:dyDescent="0.45">
      <c r="A73" s="4"/>
      <c r="B73" s="5"/>
    </row>
    <row r="74" spans="1:2" x14ac:dyDescent="0.45">
      <c r="A74" s="4"/>
      <c r="B74" s="5"/>
    </row>
    <row r="75" spans="1:2" x14ac:dyDescent="0.45">
      <c r="A75" s="4"/>
      <c r="B75" s="5"/>
    </row>
    <row r="76" spans="1:2" x14ac:dyDescent="0.45">
      <c r="A76" s="4"/>
      <c r="B76" s="5"/>
    </row>
    <row r="77" spans="1:2" x14ac:dyDescent="0.45">
      <c r="A77" s="4"/>
      <c r="B77" s="5"/>
    </row>
    <row r="78" spans="1:2" x14ac:dyDescent="0.45">
      <c r="A78" s="4"/>
      <c r="B78" s="5"/>
    </row>
    <row r="79" spans="1:2" x14ac:dyDescent="0.45">
      <c r="A79" s="4"/>
      <c r="B79" s="5"/>
    </row>
    <row r="80" spans="1:2" x14ac:dyDescent="0.45">
      <c r="A80" s="4"/>
      <c r="B80" s="5"/>
    </row>
    <row r="81" spans="1:2" x14ac:dyDescent="0.45">
      <c r="A81" s="4"/>
      <c r="B81" s="5"/>
    </row>
    <row r="82" spans="1:2" x14ac:dyDescent="0.45">
      <c r="A82" s="4"/>
      <c r="B82" s="5"/>
    </row>
    <row r="83" spans="1:2" x14ac:dyDescent="0.45">
      <c r="A83" s="4"/>
      <c r="B83" s="5"/>
    </row>
    <row r="84" spans="1:2" x14ac:dyDescent="0.45">
      <c r="A84" s="4"/>
      <c r="B84" s="5"/>
    </row>
    <row r="85" spans="1:2" x14ac:dyDescent="0.45">
      <c r="A85" s="4"/>
      <c r="B85" s="5"/>
    </row>
    <row r="86" spans="1:2" x14ac:dyDescent="0.45">
      <c r="A86" s="4"/>
      <c r="B86" s="5"/>
    </row>
    <row r="87" spans="1:2" x14ac:dyDescent="0.45">
      <c r="A87" s="4"/>
      <c r="B87" s="5"/>
    </row>
    <row r="88" spans="1:2" x14ac:dyDescent="0.45">
      <c r="A88" s="4"/>
      <c r="B88" s="5"/>
    </row>
    <row r="89" spans="1:2" x14ac:dyDescent="0.45">
      <c r="A89" s="4"/>
      <c r="B89" s="5"/>
    </row>
    <row r="90" spans="1:2" x14ac:dyDescent="0.45">
      <c r="A90" s="4"/>
      <c r="B90" s="5"/>
    </row>
    <row r="91" spans="1:2" x14ac:dyDescent="0.45">
      <c r="A91" s="4"/>
      <c r="B91" s="5"/>
    </row>
    <row r="92" spans="1:2" x14ac:dyDescent="0.45">
      <c r="A92" s="4"/>
    </row>
    <row r="93" spans="1:2" x14ac:dyDescent="0.45">
      <c r="A93" s="4"/>
    </row>
    <row r="94" spans="1:2" x14ac:dyDescent="0.45">
      <c r="A94" s="4"/>
    </row>
    <row r="95" spans="1:2" x14ac:dyDescent="0.45">
      <c r="A95" s="4"/>
    </row>
    <row r="96" spans="1:2" x14ac:dyDescent="0.45">
      <c r="A96" s="4"/>
    </row>
    <row r="97" spans="1:1" x14ac:dyDescent="0.45">
      <c r="A97" s="4"/>
    </row>
  </sheetData>
  <conditionalFormatting sqref="H3:X8">
    <cfRule type="colorScale" priority="1">
      <colorScale>
        <cfvo type="min"/>
        <cfvo type="max"/>
        <color theme="0" tint="-4.9989318521683403E-2"/>
        <color theme="9" tint="-0.499984740745262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8FE0-4DDB-4BA7-A85A-17DC50E873D9}">
  <dimension ref="A1:X95"/>
  <sheetViews>
    <sheetView topLeftCell="A64" workbookViewId="0">
      <selection activeCell="A95" sqref="A95"/>
    </sheetView>
  </sheetViews>
  <sheetFormatPr defaultRowHeight="14.25" x14ac:dyDescent="0.45"/>
  <cols>
    <col min="4" max="4" width="15.1328125" bestFit="1" customWidth="1"/>
    <col min="8" max="24" width="8.9296875" bestFit="1" customWidth="1"/>
  </cols>
  <sheetData>
    <row r="1" spans="1:24" x14ac:dyDescent="0.45">
      <c r="A1" s="4" t="s">
        <v>462</v>
      </c>
      <c r="B1" s="4" t="s">
        <v>460</v>
      </c>
      <c r="C1" t="s">
        <v>463</v>
      </c>
      <c r="D1" t="s">
        <v>464</v>
      </c>
      <c r="E1" t="s">
        <v>461</v>
      </c>
      <c r="H1" t="s">
        <v>465</v>
      </c>
    </row>
    <row r="2" spans="1:24" x14ac:dyDescent="0.45">
      <c r="A2" s="4">
        <v>43582</v>
      </c>
      <c r="B2" s="5">
        <f>YEAR(A2)</f>
        <v>2019</v>
      </c>
      <c r="C2">
        <f>A2-DATE(YEAR(A2),1,1)+1</f>
        <v>117</v>
      </c>
      <c r="D2">
        <f>IF(C2&lt;90,"",INT((C2-90)/7))</f>
        <v>3</v>
      </c>
      <c r="E2">
        <f>WEEKNUM(A2,1)</f>
        <v>17</v>
      </c>
      <c r="G2" t="s">
        <v>460</v>
      </c>
      <c r="H2">
        <v>0</v>
      </c>
      <c r="I2">
        <v>1</v>
      </c>
      <c r="J2">
        <f>I2+1</f>
        <v>2</v>
      </c>
      <c r="K2">
        <f t="shared" ref="K2:W2" si="0">J2+1</f>
        <v>3</v>
      </c>
      <c r="L2">
        <f t="shared" si="0"/>
        <v>4</v>
      </c>
      <c r="M2">
        <f t="shared" si="0"/>
        <v>5</v>
      </c>
      <c r="N2">
        <f t="shared" si="0"/>
        <v>6</v>
      </c>
      <c r="O2">
        <f t="shared" si="0"/>
        <v>7</v>
      </c>
      <c r="P2">
        <f t="shared" si="0"/>
        <v>8</v>
      </c>
      <c r="Q2">
        <f t="shared" si="0"/>
        <v>9</v>
      </c>
      <c r="R2">
        <f t="shared" si="0"/>
        <v>10</v>
      </c>
      <c r="S2">
        <f t="shared" si="0"/>
        <v>11</v>
      </c>
      <c r="T2">
        <f t="shared" si="0"/>
        <v>12</v>
      </c>
      <c r="U2">
        <f t="shared" si="0"/>
        <v>13</v>
      </c>
      <c r="V2">
        <f t="shared" si="0"/>
        <v>14</v>
      </c>
      <c r="W2">
        <f t="shared" si="0"/>
        <v>15</v>
      </c>
      <c r="X2">
        <v>16</v>
      </c>
    </row>
    <row r="3" spans="1:24" x14ac:dyDescent="0.45">
      <c r="A3" s="4">
        <v>43588</v>
      </c>
      <c r="B3" s="5">
        <f t="shared" ref="B3:B66" si="1">YEAR(A3)</f>
        <v>2019</v>
      </c>
      <c r="C3">
        <f>A3-DATE(YEAR(A3),1,1)+1</f>
        <v>123</v>
      </c>
      <c r="D3">
        <f t="shared" ref="D3:D66" si="2">IF(C3&lt;90,"",INT((C3-90)/7))</f>
        <v>4</v>
      </c>
      <c r="E3">
        <f>WEEKNUM(A3,1)</f>
        <v>18</v>
      </c>
      <c r="G3" cm="1">
        <f t="array" ref="G3:G8">_xlfn.UNIQUE(B2:B95)</f>
        <v>2019</v>
      </c>
      <c r="H3" s="6">
        <f>COUNTIFS($B$2:$B$95,$G3,$D$2:$D$95,H$2)/COUNTIF($B$2:$B$95,$G3)</f>
        <v>0</v>
      </c>
      <c r="I3" s="6">
        <f t="shared" ref="I3:X8" si="3">COUNTIFS($B$2:$B$95,$G3,$D$2:$D$95,I$2)/COUNTIF($B$2:$B$95,$G3)</f>
        <v>0</v>
      </c>
      <c r="J3" s="6">
        <f t="shared" si="3"/>
        <v>0</v>
      </c>
      <c r="K3" s="6">
        <f t="shared" si="3"/>
        <v>0.125</v>
      </c>
      <c r="L3" s="6">
        <f t="shared" si="3"/>
        <v>0.125</v>
      </c>
      <c r="M3" s="6">
        <f t="shared" si="3"/>
        <v>0.125</v>
      </c>
      <c r="N3" s="6">
        <f t="shared" si="3"/>
        <v>0</v>
      </c>
      <c r="O3" s="6">
        <f t="shared" si="3"/>
        <v>0</v>
      </c>
      <c r="P3" s="6">
        <f t="shared" si="3"/>
        <v>0.25</v>
      </c>
      <c r="Q3" s="6">
        <f t="shared" si="3"/>
        <v>0.125</v>
      </c>
      <c r="R3" s="6">
        <f t="shared" si="3"/>
        <v>0.25</v>
      </c>
      <c r="S3" s="6">
        <f t="shared" si="3"/>
        <v>0</v>
      </c>
      <c r="T3" s="6">
        <f t="shared" si="3"/>
        <v>0</v>
      </c>
      <c r="U3" s="6">
        <f t="shared" si="3"/>
        <v>0</v>
      </c>
      <c r="V3" s="6">
        <f t="shared" si="3"/>
        <v>0</v>
      </c>
      <c r="W3" s="6">
        <f t="shared" si="3"/>
        <v>0</v>
      </c>
      <c r="X3" s="6">
        <f t="shared" si="3"/>
        <v>0</v>
      </c>
    </row>
    <row r="4" spans="1:24" x14ac:dyDescent="0.45">
      <c r="A4" s="4">
        <v>43595</v>
      </c>
      <c r="B4" s="5">
        <f t="shared" si="1"/>
        <v>2019</v>
      </c>
      <c r="C4">
        <f>A4-DATE(YEAR(A4),1,1)+1</f>
        <v>130</v>
      </c>
      <c r="D4">
        <f t="shared" si="2"/>
        <v>5</v>
      </c>
      <c r="E4">
        <f>WEEKNUM(A4,1)</f>
        <v>19</v>
      </c>
      <c r="G4">
        <v>2020</v>
      </c>
      <c r="H4" s="6">
        <f t="shared" ref="H4:X8" si="4">COUNTIFS($B$2:$B$95,$G4,$D$2:$D$95,H$2)/COUNTIF($B$2:$B$95,$G4)</f>
        <v>0</v>
      </c>
      <c r="I4" s="6">
        <f t="shared" si="4"/>
        <v>0</v>
      </c>
      <c r="J4" s="6">
        <f t="shared" si="4"/>
        <v>0</v>
      </c>
      <c r="K4" s="6">
        <f t="shared" si="4"/>
        <v>0.16666666666666666</v>
      </c>
      <c r="L4" s="6">
        <f t="shared" si="4"/>
        <v>0.16666666666666666</v>
      </c>
      <c r="M4" s="6">
        <f t="shared" si="4"/>
        <v>0.16666666666666666</v>
      </c>
      <c r="N4" s="6">
        <f t="shared" si="4"/>
        <v>0</v>
      </c>
      <c r="O4" s="6">
        <f t="shared" si="4"/>
        <v>0.16666666666666666</v>
      </c>
      <c r="P4" s="6">
        <f t="shared" si="4"/>
        <v>0</v>
      </c>
      <c r="Q4" s="6">
        <f t="shared" si="4"/>
        <v>0.33333333333333331</v>
      </c>
      <c r="R4" s="6">
        <f t="shared" si="4"/>
        <v>0</v>
      </c>
      <c r="S4" s="6">
        <f t="shared" si="4"/>
        <v>0</v>
      </c>
      <c r="T4" s="6">
        <f t="shared" si="4"/>
        <v>0</v>
      </c>
      <c r="U4" s="6">
        <f t="shared" si="4"/>
        <v>0</v>
      </c>
      <c r="V4" s="6">
        <f t="shared" si="4"/>
        <v>0</v>
      </c>
      <c r="W4" s="6">
        <f t="shared" si="4"/>
        <v>0</v>
      </c>
      <c r="X4" s="6">
        <f t="shared" si="4"/>
        <v>0</v>
      </c>
    </row>
    <row r="5" spans="1:24" x14ac:dyDescent="0.45">
      <c r="A5" s="4">
        <v>43613</v>
      </c>
      <c r="B5" s="5">
        <f t="shared" si="1"/>
        <v>2019</v>
      </c>
      <c r="C5">
        <f>A5-DATE(YEAR(A5),1,1)+1</f>
        <v>148</v>
      </c>
      <c r="D5">
        <f t="shared" si="2"/>
        <v>8</v>
      </c>
      <c r="E5">
        <f>WEEKNUM(A5,1)</f>
        <v>22</v>
      </c>
      <c r="G5">
        <v>2021</v>
      </c>
      <c r="H5" s="6">
        <f t="shared" si="4"/>
        <v>0</v>
      </c>
      <c r="I5" s="6">
        <f t="shared" si="3"/>
        <v>0</v>
      </c>
      <c r="J5" s="6">
        <f t="shared" si="3"/>
        <v>0</v>
      </c>
      <c r="K5" s="6">
        <f t="shared" si="3"/>
        <v>5.5555555555555552E-2</v>
      </c>
      <c r="L5" s="6">
        <f t="shared" si="3"/>
        <v>0.22222222222222221</v>
      </c>
      <c r="M5" s="6">
        <f t="shared" si="3"/>
        <v>0.1111111111111111</v>
      </c>
      <c r="N5" s="6">
        <f t="shared" si="3"/>
        <v>0.16666666666666666</v>
      </c>
      <c r="O5" s="6">
        <f t="shared" si="3"/>
        <v>5.5555555555555552E-2</v>
      </c>
      <c r="P5" s="6">
        <f t="shared" si="3"/>
        <v>0.16666666666666666</v>
      </c>
      <c r="Q5" s="6">
        <f t="shared" si="3"/>
        <v>5.5555555555555552E-2</v>
      </c>
      <c r="R5" s="6">
        <f t="shared" si="3"/>
        <v>0.16666666666666666</v>
      </c>
      <c r="S5" s="6">
        <f t="shared" si="3"/>
        <v>0</v>
      </c>
      <c r="T5" s="6">
        <f t="shared" si="3"/>
        <v>0</v>
      </c>
      <c r="U5" s="6">
        <f t="shared" si="3"/>
        <v>0</v>
      </c>
      <c r="V5" s="6">
        <f t="shared" si="3"/>
        <v>0</v>
      </c>
      <c r="W5" s="6">
        <f t="shared" si="3"/>
        <v>0</v>
      </c>
      <c r="X5" s="6">
        <f t="shared" si="3"/>
        <v>0</v>
      </c>
    </row>
    <row r="6" spans="1:24" x14ac:dyDescent="0.45">
      <c r="A6" s="4">
        <v>43616</v>
      </c>
      <c r="B6" s="5">
        <f t="shared" si="1"/>
        <v>2019</v>
      </c>
      <c r="C6">
        <f>A6-DATE(YEAR(A6),1,1)+1</f>
        <v>151</v>
      </c>
      <c r="D6">
        <f t="shared" si="2"/>
        <v>8</v>
      </c>
      <c r="E6">
        <f>WEEKNUM(A6,1)</f>
        <v>22</v>
      </c>
      <c r="G6">
        <v>2022</v>
      </c>
      <c r="H6" s="6">
        <f t="shared" si="4"/>
        <v>0</v>
      </c>
      <c r="I6" s="6">
        <f t="shared" si="3"/>
        <v>0.1111111111111111</v>
      </c>
      <c r="J6" s="6">
        <f t="shared" si="3"/>
        <v>0.22222222222222221</v>
      </c>
      <c r="K6" s="6">
        <f t="shared" si="3"/>
        <v>5.5555555555555552E-2</v>
      </c>
      <c r="L6" s="6">
        <f t="shared" si="3"/>
        <v>0.1111111111111111</v>
      </c>
      <c r="M6" s="6">
        <f t="shared" si="3"/>
        <v>0</v>
      </c>
      <c r="N6" s="6">
        <f t="shared" si="3"/>
        <v>0.1111111111111111</v>
      </c>
      <c r="O6" s="6">
        <f t="shared" si="3"/>
        <v>0.22222222222222221</v>
      </c>
      <c r="P6" s="6">
        <f t="shared" si="3"/>
        <v>0.1111111111111111</v>
      </c>
      <c r="Q6" s="6">
        <f t="shared" si="3"/>
        <v>5.5555555555555552E-2</v>
      </c>
      <c r="R6" s="6">
        <f t="shared" si="3"/>
        <v>0</v>
      </c>
      <c r="S6" s="6">
        <f t="shared" si="3"/>
        <v>0</v>
      </c>
      <c r="T6" s="6">
        <f t="shared" si="3"/>
        <v>0</v>
      </c>
      <c r="U6" s="6">
        <f t="shared" si="3"/>
        <v>0</v>
      </c>
      <c r="V6" s="6">
        <f t="shared" si="3"/>
        <v>0</v>
      </c>
      <c r="W6" s="6">
        <f t="shared" si="3"/>
        <v>0</v>
      </c>
      <c r="X6" s="6">
        <f t="shared" si="3"/>
        <v>0</v>
      </c>
    </row>
    <row r="7" spans="1:24" x14ac:dyDescent="0.45">
      <c r="A7" s="4">
        <v>43620</v>
      </c>
      <c r="B7" s="5">
        <f t="shared" si="1"/>
        <v>2019</v>
      </c>
      <c r="C7">
        <f>A7-DATE(YEAR(A7),1,1)+1</f>
        <v>155</v>
      </c>
      <c r="D7">
        <f t="shared" si="2"/>
        <v>9</v>
      </c>
      <c r="E7">
        <f>WEEKNUM(A7,1)</f>
        <v>23</v>
      </c>
      <c r="G7">
        <v>2023</v>
      </c>
      <c r="H7" s="6">
        <f t="shared" si="4"/>
        <v>0</v>
      </c>
      <c r="I7" s="6">
        <f t="shared" si="3"/>
        <v>0</v>
      </c>
      <c r="J7" s="6">
        <f t="shared" si="3"/>
        <v>3.4482758620689655E-2</v>
      </c>
      <c r="K7" s="6">
        <f t="shared" si="3"/>
        <v>6.8965517241379309E-2</v>
      </c>
      <c r="L7" s="6">
        <f t="shared" si="3"/>
        <v>0.10344827586206896</v>
      </c>
      <c r="M7" s="6">
        <f t="shared" si="3"/>
        <v>0.10344827586206896</v>
      </c>
      <c r="N7" s="6">
        <f t="shared" si="3"/>
        <v>6.8965517241379309E-2</v>
      </c>
      <c r="O7" s="6">
        <f t="shared" si="3"/>
        <v>0.10344827586206896</v>
      </c>
      <c r="P7" s="6">
        <f t="shared" si="3"/>
        <v>6.8965517241379309E-2</v>
      </c>
      <c r="Q7" s="6">
        <f t="shared" si="3"/>
        <v>0.10344827586206896</v>
      </c>
      <c r="R7" s="6">
        <f t="shared" si="3"/>
        <v>0.10344827586206896</v>
      </c>
      <c r="S7" s="6">
        <f t="shared" si="3"/>
        <v>0.10344827586206896</v>
      </c>
      <c r="T7" s="6">
        <f t="shared" si="3"/>
        <v>3.4482758620689655E-2</v>
      </c>
      <c r="U7" s="6">
        <f t="shared" si="3"/>
        <v>3.4482758620689655E-2</v>
      </c>
      <c r="V7" s="6">
        <f t="shared" si="3"/>
        <v>3.4482758620689655E-2</v>
      </c>
      <c r="W7" s="6">
        <f t="shared" si="3"/>
        <v>3.4482758620689655E-2</v>
      </c>
      <c r="X7" s="6">
        <f t="shared" si="3"/>
        <v>0</v>
      </c>
    </row>
    <row r="8" spans="1:24" x14ac:dyDescent="0.45">
      <c r="A8" s="4">
        <v>43625</v>
      </c>
      <c r="B8" s="5">
        <f t="shared" si="1"/>
        <v>2019</v>
      </c>
      <c r="C8">
        <f>A8-DATE(YEAR(A8),1,1)+1</f>
        <v>160</v>
      </c>
      <c r="D8">
        <f t="shared" si="2"/>
        <v>10</v>
      </c>
      <c r="E8">
        <f>WEEKNUM(A8,1)</f>
        <v>24</v>
      </c>
      <c r="G8">
        <v>2024</v>
      </c>
      <c r="H8" s="6">
        <f t="shared" si="4"/>
        <v>0</v>
      </c>
      <c r="I8" s="6">
        <f t="shared" si="3"/>
        <v>0</v>
      </c>
      <c r="J8" s="6">
        <f t="shared" si="3"/>
        <v>0</v>
      </c>
      <c r="K8" s="6">
        <f t="shared" si="3"/>
        <v>6.6666666666666666E-2</v>
      </c>
      <c r="L8" s="6">
        <f t="shared" si="3"/>
        <v>0.13333333333333333</v>
      </c>
      <c r="M8" s="6">
        <f t="shared" si="3"/>
        <v>0.13333333333333333</v>
      </c>
      <c r="N8" s="6">
        <f t="shared" si="3"/>
        <v>0</v>
      </c>
      <c r="O8" s="6">
        <f t="shared" si="3"/>
        <v>6.6666666666666666E-2</v>
      </c>
      <c r="P8" s="6">
        <f t="shared" si="3"/>
        <v>0.2</v>
      </c>
      <c r="Q8" s="6">
        <f t="shared" si="3"/>
        <v>6.6666666666666666E-2</v>
      </c>
      <c r="R8" s="6">
        <f t="shared" si="3"/>
        <v>0.13333333333333333</v>
      </c>
      <c r="S8" s="6">
        <f t="shared" si="3"/>
        <v>0.13333333333333333</v>
      </c>
      <c r="T8" s="6">
        <f t="shared" si="3"/>
        <v>0</v>
      </c>
      <c r="U8" s="6">
        <f t="shared" si="3"/>
        <v>0</v>
      </c>
      <c r="V8" s="6">
        <f t="shared" si="3"/>
        <v>0</v>
      </c>
      <c r="W8" s="6">
        <f t="shared" si="3"/>
        <v>6.6666666666666666E-2</v>
      </c>
      <c r="X8" s="6">
        <f t="shared" si="3"/>
        <v>0</v>
      </c>
    </row>
    <row r="9" spans="1:24" x14ac:dyDescent="0.45">
      <c r="A9" s="4">
        <v>43628</v>
      </c>
      <c r="B9" s="5">
        <f t="shared" si="1"/>
        <v>2019</v>
      </c>
      <c r="C9">
        <f>A9-DATE(YEAR(A9),1,1)+1</f>
        <v>163</v>
      </c>
      <c r="D9">
        <f t="shared" si="2"/>
        <v>10</v>
      </c>
      <c r="E9">
        <f>WEEKNUM(A9,1)</f>
        <v>24</v>
      </c>
    </row>
    <row r="10" spans="1:24" x14ac:dyDescent="0.45">
      <c r="A10" s="4">
        <v>43945</v>
      </c>
      <c r="B10" s="5">
        <f t="shared" si="1"/>
        <v>2020</v>
      </c>
      <c r="C10">
        <f>A10-DATE(YEAR(A10),1,1)+1</f>
        <v>115</v>
      </c>
      <c r="D10">
        <f t="shared" si="2"/>
        <v>3</v>
      </c>
      <c r="E10">
        <f>WEEKNUM(A10,1)</f>
        <v>17</v>
      </c>
      <c r="H10" s="7">
        <f>DATE($G3,1,1)+((H$2*7)+90)</f>
        <v>43556</v>
      </c>
      <c r="I10" s="7">
        <f t="shared" ref="I10:X15" si="5">DATE($G3,1,1)+((I$2*7)+90)</f>
        <v>43563</v>
      </c>
      <c r="J10" s="7">
        <f t="shared" si="5"/>
        <v>43570</v>
      </c>
      <c r="K10" s="7">
        <f t="shared" si="5"/>
        <v>43577</v>
      </c>
      <c r="L10" s="7">
        <f t="shared" si="5"/>
        <v>43584</v>
      </c>
      <c r="M10" s="7">
        <f t="shared" si="5"/>
        <v>43591</v>
      </c>
      <c r="N10" s="7">
        <f t="shared" si="5"/>
        <v>43598</v>
      </c>
      <c r="O10" s="7">
        <f t="shared" si="5"/>
        <v>43605</v>
      </c>
      <c r="P10" s="7">
        <f t="shared" si="5"/>
        <v>43612</v>
      </c>
      <c r="Q10" s="7">
        <f t="shared" si="5"/>
        <v>43619</v>
      </c>
      <c r="R10" s="7">
        <f t="shared" si="5"/>
        <v>43626</v>
      </c>
      <c r="S10" s="7">
        <f t="shared" si="5"/>
        <v>43633</v>
      </c>
      <c r="T10" s="7">
        <f t="shared" si="5"/>
        <v>43640</v>
      </c>
      <c r="U10" s="7">
        <f t="shared" si="5"/>
        <v>43647</v>
      </c>
      <c r="V10" s="7">
        <f t="shared" si="5"/>
        <v>43654</v>
      </c>
      <c r="W10" s="7">
        <f t="shared" si="5"/>
        <v>43661</v>
      </c>
      <c r="X10" s="7">
        <f t="shared" si="5"/>
        <v>43668</v>
      </c>
    </row>
    <row r="11" spans="1:24" x14ac:dyDescent="0.45">
      <c r="A11" s="4">
        <v>43948</v>
      </c>
      <c r="B11" s="5">
        <f t="shared" si="1"/>
        <v>2020</v>
      </c>
      <c r="C11">
        <f>A11-DATE(YEAR(A11),1,1)+1</f>
        <v>118</v>
      </c>
      <c r="D11">
        <f t="shared" si="2"/>
        <v>4</v>
      </c>
      <c r="E11">
        <f>WEEKNUM(A11,1)</f>
        <v>18</v>
      </c>
      <c r="H11" s="7">
        <f t="shared" ref="H11:W15" si="6">DATE($G4,1,1)+((H$2*7)+90)</f>
        <v>43921</v>
      </c>
      <c r="I11" s="7">
        <f t="shared" si="6"/>
        <v>43928</v>
      </c>
      <c r="J11" s="7">
        <f t="shared" si="6"/>
        <v>43935</v>
      </c>
      <c r="K11" s="7">
        <f t="shared" si="6"/>
        <v>43942</v>
      </c>
      <c r="L11" s="7">
        <f t="shared" si="6"/>
        <v>43949</v>
      </c>
      <c r="M11" s="7">
        <f t="shared" si="6"/>
        <v>43956</v>
      </c>
      <c r="N11" s="7">
        <f t="shared" si="6"/>
        <v>43963</v>
      </c>
      <c r="O11" s="7">
        <f t="shared" si="6"/>
        <v>43970</v>
      </c>
      <c r="P11" s="7">
        <f t="shared" si="6"/>
        <v>43977</v>
      </c>
      <c r="Q11" s="7">
        <f t="shared" si="6"/>
        <v>43984</v>
      </c>
      <c r="R11" s="7">
        <f t="shared" si="6"/>
        <v>43991</v>
      </c>
      <c r="S11" s="7">
        <f t="shared" si="6"/>
        <v>43998</v>
      </c>
      <c r="T11" s="7">
        <f t="shared" si="6"/>
        <v>44005</v>
      </c>
      <c r="U11" s="7">
        <f t="shared" si="6"/>
        <v>44012</v>
      </c>
      <c r="V11" s="7">
        <f t="shared" si="6"/>
        <v>44019</v>
      </c>
      <c r="W11" s="7">
        <f t="shared" si="6"/>
        <v>44026</v>
      </c>
      <c r="X11" s="7">
        <f t="shared" si="5"/>
        <v>44033</v>
      </c>
    </row>
    <row r="12" spans="1:24" x14ac:dyDescent="0.45">
      <c r="A12" s="4">
        <v>43955</v>
      </c>
      <c r="B12" s="5">
        <f t="shared" si="1"/>
        <v>2020</v>
      </c>
      <c r="C12">
        <f>A12-DATE(YEAR(A12),1,1)+1</f>
        <v>125</v>
      </c>
      <c r="D12">
        <f t="shared" si="2"/>
        <v>5</v>
      </c>
      <c r="E12">
        <f>WEEKNUM(A12,1)</f>
        <v>19</v>
      </c>
      <c r="H12" s="7">
        <f t="shared" si="6"/>
        <v>44287</v>
      </c>
      <c r="I12" s="7">
        <f t="shared" si="5"/>
        <v>44294</v>
      </c>
      <c r="J12" s="7">
        <f t="shared" si="5"/>
        <v>44301</v>
      </c>
      <c r="K12" s="7">
        <f t="shared" si="5"/>
        <v>44308</v>
      </c>
      <c r="L12" s="7">
        <f t="shared" si="5"/>
        <v>44315</v>
      </c>
      <c r="M12" s="7">
        <f t="shared" si="5"/>
        <v>44322</v>
      </c>
      <c r="N12" s="7">
        <f t="shared" si="5"/>
        <v>44329</v>
      </c>
      <c r="O12" s="7">
        <f t="shared" si="5"/>
        <v>44336</v>
      </c>
      <c r="P12" s="7">
        <f t="shared" si="5"/>
        <v>44343</v>
      </c>
      <c r="Q12" s="7">
        <f t="shared" si="5"/>
        <v>44350</v>
      </c>
      <c r="R12" s="7">
        <f t="shared" si="5"/>
        <v>44357</v>
      </c>
      <c r="S12" s="7">
        <f t="shared" si="5"/>
        <v>44364</v>
      </c>
      <c r="T12" s="7">
        <f t="shared" si="5"/>
        <v>44371</v>
      </c>
      <c r="U12" s="7">
        <f t="shared" si="5"/>
        <v>44378</v>
      </c>
      <c r="V12" s="7">
        <f t="shared" si="5"/>
        <v>44385</v>
      </c>
      <c r="W12" s="7">
        <f t="shared" si="5"/>
        <v>44392</v>
      </c>
      <c r="X12" s="7">
        <f t="shared" si="5"/>
        <v>44399</v>
      </c>
    </row>
    <row r="13" spans="1:24" x14ac:dyDescent="0.45">
      <c r="A13" s="4">
        <v>43970</v>
      </c>
      <c r="B13" s="5">
        <f t="shared" si="1"/>
        <v>2020</v>
      </c>
      <c r="C13">
        <f>A13-DATE(YEAR(A13),1,1)+1</f>
        <v>140</v>
      </c>
      <c r="D13">
        <f t="shared" si="2"/>
        <v>7</v>
      </c>
      <c r="E13">
        <f>WEEKNUM(A13,1)</f>
        <v>21</v>
      </c>
      <c r="H13" s="7">
        <f t="shared" si="6"/>
        <v>44652</v>
      </c>
      <c r="I13" s="7">
        <f t="shared" si="5"/>
        <v>44659</v>
      </c>
      <c r="J13" s="7">
        <f t="shared" si="5"/>
        <v>44666</v>
      </c>
      <c r="K13" s="7">
        <f t="shared" si="5"/>
        <v>44673</v>
      </c>
      <c r="L13" s="7">
        <f t="shared" si="5"/>
        <v>44680</v>
      </c>
      <c r="M13" s="7">
        <f t="shared" si="5"/>
        <v>44687</v>
      </c>
      <c r="N13" s="7">
        <f t="shared" si="5"/>
        <v>44694</v>
      </c>
      <c r="O13" s="7">
        <f t="shared" si="5"/>
        <v>44701</v>
      </c>
      <c r="P13" s="7">
        <f t="shared" si="5"/>
        <v>44708</v>
      </c>
      <c r="Q13" s="7">
        <f t="shared" si="5"/>
        <v>44715</v>
      </c>
      <c r="R13" s="7">
        <f t="shared" si="5"/>
        <v>44722</v>
      </c>
      <c r="S13" s="7">
        <f t="shared" si="5"/>
        <v>44729</v>
      </c>
      <c r="T13" s="7">
        <f t="shared" si="5"/>
        <v>44736</v>
      </c>
      <c r="U13" s="7">
        <f t="shared" si="5"/>
        <v>44743</v>
      </c>
      <c r="V13" s="7">
        <f t="shared" si="5"/>
        <v>44750</v>
      </c>
      <c r="W13" s="7">
        <f t="shared" si="5"/>
        <v>44757</v>
      </c>
      <c r="X13" s="7">
        <f t="shared" si="5"/>
        <v>44764</v>
      </c>
    </row>
    <row r="14" spans="1:24" x14ac:dyDescent="0.45">
      <c r="A14" s="4">
        <v>43985</v>
      </c>
      <c r="B14" s="5">
        <f t="shared" si="1"/>
        <v>2020</v>
      </c>
      <c r="C14">
        <f>A14-DATE(YEAR(A14),1,1)+1</f>
        <v>155</v>
      </c>
      <c r="D14">
        <f t="shared" si="2"/>
        <v>9</v>
      </c>
      <c r="E14">
        <f>WEEKNUM(A14,1)</f>
        <v>23</v>
      </c>
      <c r="H14" s="7">
        <f t="shared" si="6"/>
        <v>45017</v>
      </c>
      <c r="I14" s="7">
        <f t="shared" si="5"/>
        <v>45024</v>
      </c>
      <c r="J14" s="7">
        <f t="shared" si="5"/>
        <v>45031</v>
      </c>
      <c r="K14" s="7">
        <f t="shared" si="5"/>
        <v>45038</v>
      </c>
      <c r="L14" s="7">
        <f t="shared" si="5"/>
        <v>45045</v>
      </c>
      <c r="M14" s="7">
        <f t="shared" si="5"/>
        <v>45052</v>
      </c>
      <c r="N14" s="7">
        <f t="shared" si="5"/>
        <v>45059</v>
      </c>
      <c r="O14" s="7">
        <f t="shared" si="5"/>
        <v>45066</v>
      </c>
      <c r="P14" s="7">
        <f t="shared" si="5"/>
        <v>45073</v>
      </c>
      <c r="Q14" s="7">
        <f t="shared" si="5"/>
        <v>45080</v>
      </c>
      <c r="R14" s="7">
        <f t="shared" si="5"/>
        <v>45087</v>
      </c>
      <c r="S14" s="7">
        <f t="shared" si="5"/>
        <v>45094</v>
      </c>
      <c r="T14" s="7">
        <f t="shared" si="5"/>
        <v>45101</v>
      </c>
      <c r="U14" s="7">
        <f t="shared" si="5"/>
        <v>45108</v>
      </c>
      <c r="V14" s="7">
        <f t="shared" si="5"/>
        <v>45115</v>
      </c>
      <c r="W14" s="7">
        <f t="shared" si="5"/>
        <v>45122</v>
      </c>
      <c r="X14" s="7">
        <f t="shared" si="5"/>
        <v>45129</v>
      </c>
    </row>
    <row r="15" spans="1:24" x14ac:dyDescent="0.45">
      <c r="A15" s="4">
        <v>43988</v>
      </c>
      <c r="B15" s="5">
        <f t="shared" si="1"/>
        <v>2020</v>
      </c>
      <c r="C15">
        <f>A15-DATE(YEAR(A15),1,1)+1</f>
        <v>158</v>
      </c>
      <c r="D15">
        <f t="shared" si="2"/>
        <v>9</v>
      </c>
      <c r="E15">
        <f>WEEKNUM(A15,1)</f>
        <v>23</v>
      </c>
      <c r="H15" s="7">
        <f t="shared" si="6"/>
        <v>45382</v>
      </c>
      <c r="I15" s="7">
        <f t="shared" si="5"/>
        <v>45389</v>
      </c>
      <c r="J15" s="7">
        <f t="shared" si="5"/>
        <v>45396</v>
      </c>
      <c r="K15" s="7">
        <f t="shared" si="5"/>
        <v>45403</v>
      </c>
      <c r="L15" s="7">
        <f t="shared" si="5"/>
        <v>45410</v>
      </c>
      <c r="M15" s="7">
        <f t="shared" si="5"/>
        <v>45417</v>
      </c>
      <c r="N15" s="7">
        <f t="shared" si="5"/>
        <v>45424</v>
      </c>
      <c r="O15" s="7">
        <f t="shared" si="5"/>
        <v>45431</v>
      </c>
      <c r="P15" s="7">
        <f t="shared" si="5"/>
        <v>45438</v>
      </c>
      <c r="Q15" s="7">
        <f t="shared" si="5"/>
        <v>45445</v>
      </c>
      <c r="R15" s="7">
        <f t="shared" si="5"/>
        <v>45452</v>
      </c>
      <c r="S15" s="7">
        <f t="shared" si="5"/>
        <v>45459</v>
      </c>
      <c r="T15" s="7">
        <f t="shared" si="5"/>
        <v>45466</v>
      </c>
      <c r="U15" s="7">
        <f t="shared" si="5"/>
        <v>45473</v>
      </c>
      <c r="V15" s="7">
        <f t="shared" si="5"/>
        <v>45480</v>
      </c>
      <c r="W15" s="7">
        <f t="shared" si="5"/>
        <v>45487</v>
      </c>
      <c r="X15" s="7">
        <f t="shared" si="5"/>
        <v>45494</v>
      </c>
    </row>
    <row r="16" spans="1:24" x14ac:dyDescent="0.45">
      <c r="A16" s="4">
        <v>44310</v>
      </c>
      <c r="B16" s="5">
        <f t="shared" si="1"/>
        <v>2021</v>
      </c>
      <c r="C16">
        <f>A16-DATE(YEAR(A16),1,1)+1</f>
        <v>114</v>
      </c>
      <c r="D16">
        <f t="shared" si="2"/>
        <v>3</v>
      </c>
      <c r="E16">
        <f>WEEKNUM(A16,1)</f>
        <v>17</v>
      </c>
    </row>
    <row r="17" spans="1:5" x14ac:dyDescent="0.45">
      <c r="A17" s="4">
        <v>44314</v>
      </c>
      <c r="B17" s="5">
        <f t="shared" si="1"/>
        <v>2021</v>
      </c>
      <c r="C17">
        <f>A17-DATE(YEAR(A17),1,1)+1</f>
        <v>118</v>
      </c>
      <c r="D17">
        <f t="shared" si="2"/>
        <v>4</v>
      </c>
      <c r="E17">
        <f>WEEKNUM(A17,1)</f>
        <v>18</v>
      </c>
    </row>
    <row r="18" spans="1:5" x14ac:dyDescent="0.45">
      <c r="A18" s="4">
        <v>44316</v>
      </c>
      <c r="B18" s="5">
        <f t="shared" si="1"/>
        <v>2021</v>
      </c>
      <c r="C18">
        <f>A18-DATE(YEAR(A18),1,1)+1</f>
        <v>120</v>
      </c>
      <c r="D18">
        <f t="shared" si="2"/>
        <v>4</v>
      </c>
      <c r="E18">
        <f>WEEKNUM(A18,1)</f>
        <v>18</v>
      </c>
    </row>
    <row r="19" spans="1:5" x14ac:dyDescent="0.45">
      <c r="A19" s="4">
        <v>44317</v>
      </c>
      <c r="B19" s="5">
        <f t="shared" si="1"/>
        <v>2021</v>
      </c>
      <c r="C19">
        <f>A19-DATE(YEAR(A19),1,1)+1</f>
        <v>121</v>
      </c>
      <c r="D19">
        <f t="shared" si="2"/>
        <v>4</v>
      </c>
      <c r="E19">
        <f>WEEKNUM(A19,1)</f>
        <v>18</v>
      </c>
    </row>
    <row r="20" spans="1:5" x14ac:dyDescent="0.45">
      <c r="A20" s="4">
        <v>44318</v>
      </c>
      <c r="B20" s="5">
        <f t="shared" si="1"/>
        <v>2021</v>
      </c>
      <c r="C20">
        <f>A20-DATE(YEAR(A20),1,1)+1</f>
        <v>122</v>
      </c>
      <c r="D20">
        <f t="shared" si="2"/>
        <v>4</v>
      </c>
      <c r="E20">
        <f>WEEKNUM(A20,1)</f>
        <v>19</v>
      </c>
    </row>
    <row r="21" spans="1:5" x14ac:dyDescent="0.45">
      <c r="A21" s="4">
        <v>44324</v>
      </c>
      <c r="B21" s="5">
        <f t="shared" si="1"/>
        <v>2021</v>
      </c>
      <c r="C21">
        <f>A21-DATE(YEAR(A21),1,1)+1</f>
        <v>128</v>
      </c>
      <c r="D21">
        <f t="shared" si="2"/>
        <v>5</v>
      </c>
      <c r="E21">
        <f>WEEKNUM(A21,1)</f>
        <v>19</v>
      </c>
    </row>
    <row r="22" spans="1:5" x14ac:dyDescent="0.45">
      <c r="A22" s="4">
        <v>44325</v>
      </c>
      <c r="B22" s="5">
        <f t="shared" si="1"/>
        <v>2021</v>
      </c>
      <c r="C22">
        <f>A22-DATE(YEAR(A22),1,1)+1</f>
        <v>129</v>
      </c>
      <c r="D22">
        <f t="shared" si="2"/>
        <v>5</v>
      </c>
      <c r="E22">
        <f>WEEKNUM(A22,1)</f>
        <v>20</v>
      </c>
    </row>
    <row r="23" spans="1:5" x14ac:dyDescent="0.45">
      <c r="A23" s="4">
        <v>44328</v>
      </c>
      <c r="B23" s="5">
        <f t="shared" si="1"/>
        <v>2021</v>
      </c>
      <c r="C23">
        <f>A23-DATE(YEAR(A23),1,1)+1</f>
        <v>132</v>
      </c>
      <c r="D23">
        <f t="shared" si="2"/>
        <v>6</v>
      </c>
      <c r="E23">
        <f>WEEKNUM(A23,1)</f>
        <v>20</v>
      </c>
    </row>
    <row r="24" spans="1:5" x14ac:dyDescent="0.45">
      <c r="A24" s="4">
        <v>44330</v>
      </c>
      <c r="B24" s="5">
        <f t="shared" si="1"/>
        <v>2021</v>
      </c>
      <c r="C24">
        <f>A24-DATE(YEAR(A24),1,1)+1</f>
        <v>134</v>
      </c>
      <c r="D24">
        <f t="shared" si="2"/>
        <v>6</v>
      </c>
      <c r="E24">
        <f>WEEKNUM(A24,1)</f>
        <v>20</v>
      </c>
    </row>
    <row r="25" spans="1:5" x14ac:dyDescent="0.45">
      <c r="A25" s="4">
        <v>44334</v>
      </c>
      <c r="B25" s="5">
        <f t="shared" si="1"/>
        <v>2021</v>
      </c>
      <c r="C25">
        <f>A25-DATE(YEAR(A25),1,1)+1</f>
        <v>138</v>
      </c>
      <c r="D25">
        <f t="shared" si="2"/>
        <v>6</v>
      </c>
      <c r="E25">
        <f>WEEKNUM(A25,1)</f>
        <v>21</v>
      </c>
    </row>
    <row r="26" spans="1:5" x14ac:dyDescent="0.45">
      <c r="A26" s="4">
        <v>44340</v>
      </c>
      <c r="B26" s="5">
        <f t="shared" si="1"/>
        <v>2021</v>
      </c>
      <c r="C26">
        <f>A26-DATE(YEAR(A26),1,1)+1</f>
        <v>144</v>
      </c>
      <c r="D26">
        <f t="shared" si="2"/>
        <v>7</v>
      </c>
      <c r="E26">
        <f>WEEKNUM(A26,1)</f>
        <v>22</v>
      </c>
    </row>
    <row r="27" spans="1:5" x14ac:dyDescent="0.45">
      <c r="A27" s="4">
        <v>44342</v>
      </c>
      <c r="B27" s="5">
        <f t="shared" si="1"/>
        <v>2021</v>
      </c>
      <c r="C27">
        <f>A27-DATE(YEAR(A27),1,1)+1</f>
        <v>146</v>
      </c>
      <c r="D27">
        <f t="shared" si="2"/>
        <v>8</v>
      </c>
      <c r="E27">
        <f>WEEKNUM(A27,1)</f>
        <v>22</v>
      </c>
    </row>
    <row r="28" spans="1:5" x14ac:dyDescent="0.45">
      <c r="A28" s="4">
        <v>44344</v>
      </c>
      <c r="B28" s="5">
        <f t="shared" si="1"/>
        <v>2021</v>
      </c>
      <c r="C28">
        <f>A28-DATE(YEAR(A28),1,1)+1</f>
        <v>148</v>
      </c>
      <c r="D28">
        <f t="shared" si="2"/>
        <v>8</v>
      </c>
      <c r="E28">
        <f>WEEKNUM(A28,1)</f>
        <v>22</v>
      </c>
    </row>
    <row r="29" spans="1:5" x14ac:dyDescent="0.45">
      <c r="A29" s="4">
        <v>44347</v>
      </c>
      <c r="B29" s="5">
        <f t="shared" si="1"/>
        <v>2021</v>
      </c>
      <c r="C29">
        <f>A29-DATE(YEAR(A29),1,1)+1</f>
        <v>151</v>
      </c>
      <c r="D29">
        <f t="shared" si="2"/>
        <v>8</v>
      </c>
      <c r="E29">
        <f>WEEKNUM(A29,1)</f>
        <v>23</v>
      </c>
    </row>
    <row r="30" spans="1:5" x14ac:dyDescent="0.45">
      <c r="A30" s="4">
        <v>44351</v>
      </c>
      <c r="B30" s="5">
        <f t="shared" si="1"/>
        <v>2021</v>
      </c>
      <c r="C30">
        <f>A30-DATE(YEAR(A30),1,1)+1</f>
        <v>155</v>
      </c>
      <c r="D30">
        <f t="shared" si="2"/>
        <v>9</v>
      </c>
      <c r="E30">
        <f>WEEKNUM(A30,1)</f>
        <v>23</v>
      </c>
    </row>
    <row r="31" spans="1:5" x14ac:dyDescent="0.45">
      <c r="A31" s="4">
        <v>44357</v>
      </c>
      <c r="B31" s="5">
        <f t="shared" si="1"/>
        <v>2021</v>
      </c>
      <c r="C31">
        <f>A31-DATE(YEAR(A31),1,1)+1</f>
        <v>161</v>
      </c>
      <c r="D31">
        <f t="shared" si="2"/>
        <v>10</v>
      </c>
      <c r="E31">
        <f>WEEKNUM(A31,1)</f>
        <v>24</v>
      </c>
    </row>
    <row r="32" spans="1:5" x14ac:dyDescent="0.45">
      <c r="A32" s="4">
        <v>44359</v>
      </c>
      <c r="B32" s="5">
        <f t="shared" si="1"/>
        <v>2021</v>
      </c>
      <c r="C32">
        <f>A32-DATE(YEAR(A32),1,1)+1</f>
        <v>163</v>
      </c>
      <c r="D32">
        <f t="shared" si="2"/>
        <v>10</v>
      </c>
      <c r="E32">
        <f>WEEKNUM(A32,1)</f>
        <v>24</v>
      </c>
    </row>
    <row r="33" spans="1:5" x14ac:dyDescent="0.45">
      <c r="A33" s="4">
        <v>44362</v>
      </c>
      <c r="B33" s="5">
        <f t="shared" si="1"/>
        <v>2021</v>
      </c>
      <c r="C33">
        <f>A33-DATE(YEAR(A33),1,1)+1</f>
        <v>166</v>
      </c>
      <c r="D33">
        <f t="shared" si="2"/>
        <v>10</v>
      </c>
      <c r="E33">
        <f>WEEKNUM(A33,1)</f>
        <v>25</v>
      </c>
    </row>
    <row r="34" spans="1:5" x14ac:dyDescent="0.45">
      <c r="A34" s="4">
        <v>44663</v>
      </c>
      <c r="B34" s="5">
        <f t="shared" si="1"/>
        <v>2022</v>
      </c>
      <c r="C34">
        <f>A34-DATE(YEAR(A34),1,1)+1</f>
        <v>102</v>
      </c>
      <c r="D34">
        <f t="shared" si="2"/>
        <v>1</v>
      </c>
      <c r="E34">
        <f>WEEKNUM(A34,1)</f>
        <v>16</v>
      </c>
    </row>
    <row r="35" spans="1:5" x14ac:dyDescent="0.45">
      <c r="A35" s="4">
        <v>44664</v>
      </c>
      <c r="B35" s="5">
        <f t="shared" si="1"/>
        <v>2022</v>
      </c>
      <c r="C35">
        <f>A35-DATE(YEAR(A35),1,1)+1</f>
        <v>103</v>
      </c>
      <c r="D35">
        <f t="shared" si="2"/>
        <v>1</v>
      </c>
      <c r="E35">
        <f>WEEKNUM(A35,1)</f>
        <v>16</v>
      </c>
    </row>
    <row r="36" spans="1:5" x14ac:dyDescent="0.45">
      <c r="A36" s="4">
        <v>44665</v>
      </c>
      <c r="B36" s="5">
        <f t="shared" si="1"/>
        <v>2022</v>
      </c>
      <c r="C36">
        <f>A36-DATE(YEAR(A36),1,1)+1</f>
        <v>104</v>
      </c>
      <c r="D36">
        <f t="shared" si="2"/>
        <v>2</v>
      </c>
      <c r="E36">
        <f>WEEKNUM(A36,1)</f>
        <v>16</v>
      </c>
    </row>
    <row r="37" spans="1:5" x14ac:dyDescent="0.45">
      <c r="A37" s="4">
        <v>44666</v>
      </c>
      <c r="B37" s="5">
        <f t="shared" si="1"/>
        <v>2022</v>
      </c>
      <c r="C37">
        <f>A37-DATE(YEAR(A37),1,1)+1</f>
        <v>105</v>
      </c>
      <c r="D37">
        <f t="shared" si="2"/>
        <v>2</v>
      </c>
      <c r="E37">
        <f>WEEKNUM(A37,1)</f>
        <v>16</v>
      </c>
    </row>
    <row r="38" spans="1:5" x14ac:dyDescent="0.45">
      <c r="A38" s="4">
        <v>44670</v>
      </c>
      <c r="B38" s="5">
        <f t="shared" si="1"/>
        <v>2022</v>
      </c>
      <c r="C38">
        <f>A38-DATE(YEAR(A38),1,1)+1</f>
        <v>109</v>
      </c>
      <c r="D38">
        <f t="shared" si="2"/>
        <v>2</v>
      </c>
      <c r="E38">
        <f>WEEKNUM(A38,1)</f>
        <v>17</v>
      </c>
    </row>
    <row r="39" spans="1:5" x14ac:dyDescent="0.45">
      <c r="A39" s="4">
        <v>44671</v>
      </c>
      <c r="B39" s="5">
        <f t="shared" si="1"/>
        <v>2022</v>
      </c>
      <c r="C39">
        <f>A39-DATE(YEAR(A39),1,1)+1</f>
        <v>110</v>
      </c>
      <c r="D39">
        <f t="shared" si="2"/>
        <v>2</v>
      </c>
      <c r="E39">
        <f>WEEKNUM(A39,1)</f>
        <v>17</v>
      </c>
    </row>
    <row r="40" spans="1:5" x14ac:dyDescent="0.45">
      <c r="A40" s="4">
        <v>44673</v>
      </c>
      <c r="B40" s="5">
        <f t="shared" si="1"/>
        <v>2022</v>
      </c>
      <c r="C40">
        <f>A40-DATE(YEAR(A40),1,1)+1</f>
        <v>112</v>
      </c>
      <c r="D40">
        <f t="shared" si="2"/>
        <v>3</v>
      </c>
      <c r="E40">
        <f>WEEKNUM(A40,1)</f>
        <v>17</v>
      </c>
    </row>
    <row r="41" spans="1:5" x14ac:dyDescent="0.45">
      <c r="A41" s="4">
        <v>44681</v>
      </c>
      <c r="B41" s="5">
        <f t="shared" si="1"/>
        <v>2022</v>
      </c>
      <c r="C41">
        <f>A41-DATE(YEAR(A41),1,1)+1</f>
        <v>120</v>
      </c>
      <c r="D41">
        <f t="shared" si="2"/>
        <v>4</v>
      </c>
      <c r="E41">
        <f>WEEKNUM(A41,1)</f>
        <v>18</v>
      </c>
    </row>
    <row r="42" spans="1:5" x14ac:dyDescent="0.45">
      <c r="A42" s="4">
        <v>44683</v>
      </c>
      <c r="B42" s="5">
        <f t="shared" si="1"/>
        <v>2022</v>
      </c>
      <c r="C42">
        <f>A42-DATE(YEAR(A42),1,1)+1</f>
        <v>122</v>
      </c>
      <c r="D42">
        <f t="shared" si="2"/>
        <v>4</v>
      </c>
      <c r="E42">
        <f>WEEKNUM(A42,1)</f>
        <v>19</v>
      </c>
    </row>
    <row r="43" spans="1:5" x14ac:dyDescent="0.45">
      <c r="A43" s="4">
        <v>44697</v>
      </c>
      <c r="B43" s="5">
        <f t="shared" si="1"/>
        <v>2022</v>
      </c>
      <c r="C43">
        <f>A43-DATE(YEAR(A43),1,1)+1</f>
        <v>136</v>
      </c>
      <c r="D43">
        <f t="shared" si="2"/>
        <v>6</v>
      </c>
      <c r="E43">
        <f>WEEKNUM(A43,1)</f>
        <v>21</v>
      </c>
    </row>
    <row r="44" spans="1:5" x14ac:dyDescent="0.45">
      <c r="A44" s="4">
        <v>44698</v>
      </c>
      <c r="B44" s="5">
        <f t="shared" si="1"/>
        <v>2022</v>
      </c>
      <c r="C44">
        <f>A44-DATE(YEAR(A44),1,1)+1</f>
        <v>137</v>
      </c>
      <c r="D44">
        <f t="shared" si="2"/>
        <v>6</v>
      </c>
      <c r="E44">
        <f>WEEKNUM(A44,1)</f>
        <v>21</v>
      </c>
    </row>
    <row r="45" spans="1:5" x14ac:dyDescent="0.45">
      <c r="A45" s="4">
        <v>44702</v>
      </c>
      <c r="B45" s="5">
        <f t="shared" si="1"/>
        <v>2022</v>
      </c>
      <c r="C45">
        <f>A45-DATE(YEAR(A45),1,1)+1</f>
        <v>141</v>
      </c>
      <c r="D45">
        <f t="shared" si="2"/>
        <v>7</v>
      </c>
      <c r="E45">
        <f>WEEKNUM(A45,1)</f>
        <v>21</v>
      </c>
    </row>
    <row r="46" spans="1:5" x14ac:dyDescent="0.45">
      <c r="A46" s="4">
        <v>44703</v>
      </c>
      <c r="B46" s="5">
        <f t="shared" si="1"/>
        <v>2022</v>
      </c>
      <c r="C46">
        <f>A46-DATE(YEAR(A46),1,1)+1</f>
        <v>142</v>
      </c>
      <c r="D46">
        <f t="shared" si="2"/>
        <v>7</v>
      </c>
      <c r="E46">
        <f>WEEKNUM(A46,1)</f>
        <v>22</v>
      </c>
    </row>
    <row r="47" spans="1:5" x14ac:dyDescent="0.45">
      <c r="A47" s="4">
        <v>44704</v>
      </c>
      <c r="B47" s="5">
        <f t="shared" si="1"/>
        <v>2022</v>
      </c>
      <c r="C47">
        <f>A47-DATE(YEAR(A47),1,1)+1</f>
        <v>143</v>
      </c>
      <c r="D47">
        <f t="shared" si="2"/>
        <v>7</v>
      </c>
      <c r="E47">
        <f>WEEKNUM(A47,1)</f>
        <v>22</v>
      </c>
    </row>
    <row r="48" spans="1:5" x14ac:dyDescent="0.45">
      <c r="A48" s="4">
        <v>44706</v>
      </c>
      <c r="B48" s="5">
        <f t="shared" si="1"/>
        <v>2022</v>
      </c>
      <c r="C48">
        <f>A48-DATE(YEAR(A48),1,1)+1</f>
        <v>145</v>
      </c>
      <c r="D48">
        <f t="shared" si="2"/>
        <v>7</v>
      </c>
      <c r="E48">
        <f>WEEKNUM(A48,1)</f>
        <v>22</v>
      </c>
    </row>
    <row r="49" spans="1:5" x14ac:dyDescent="0.45">
      <c r="A49" s="4">
        <v>44707</v>
      </c>
      <c r="B49" s="5">
        <f t="shared" si="1"/>
        <v>2022</v>
      </c>
      <c r="C49">
        <f>A49-DATE(YEAR(A49),1,1)+1</f>
        <v>146</v>
      </c>
      <c r="D49">
        <f t="shared" si="2"/>
        <v>8</v>
      </c>
      <c r="E49">
        <f>WEEKNUM(A49,1)</f>
        <v>22</v>
      </c>
    </row>
    <row r="50" spans="1:5" x14ac:dyDescent="0.45">
      <c r="A50" s="4">
        <v>44712</v>
      </c>
      <c r="B50" s="5">
        <f t="shared" si="1"/>
        <v>2022</v>
      </c>
      <c r="C50">
        <f>A50-DATE(YEAR(A50),1,1)+1</f>
        <v>151</v>
      </c>
      <c r="D50">
        <f t="shared" si="2"/>
        <v>8</v>
      </c>
      <c r="E50">
        <f>WEEKNUM(A50,1)</f>
        <v>23</v>
      </c>
    </row>
    <row r="51" spans="1:5" x14ac:dyDescent="0.45">
      <c r="A51" s="4">
        <v>44719</v>
      </c>
      <c r="B51" s="5">
        <f t="shared" si="1"/>
        <v>2022</v>
      </c>
      <c r="C51">
        <f>A51-DATE(YEAR(A51),1,1)+1</f>
        <v>158</v>
      </c>
      <c r="D51">
        <f t="shared" si="2"/>
        <v>9</v>
      </c>
      <c r="E51">
        <f>WEEKNUM(A51,1)</f>
        <v>24</v>
      </c>
    </row>
    <row r="52" spans="1:5" x14ac:dyDescent="0.45">
      <c r="A52" s="4">
        <v>45031</v>
      </c>
      <c r="B52" s="5">
        <f t="shared" si="1"/>
        <v>2023</v>
      </c>
      <c r="C52">
        <f>A52-DATE(YEAR(A52),1,1)+1</f>
        <v>105</v>
      </c>
      <c r="D52">
        <f t="shared" si="2"/>
        <v>2</v>
      </c>
      <c r="E52">
        <f>WEEKNUM(A52,1)</f>
        <v>15</v>
      </c>
    </row>
    <row r="53" spans="1:5" x14ac:dyDescent="0.45">
      <c r="A53" s="4">
        <v>45041</v>
      </c>
      <c r="B53" s="5">
        <f t="shared" si="1"/>
        <v>2023</v>
      </c>
      <c r="C53">
        <f>A53-DATE(YEAR(A53),1,1)+1</f>
        <v>115</v>
      </c>
      <c r="D53">
        <f t="shared" si="2"/>
        <v>3</v>
      </c>
      <c r="E53">
        <f>WEEKNUM(A53,1)</f>
        <v>17</v>
      </c>
    </row>
    <row r="54" spans="1:5" x14ac:dyDescent="0.45">
      <c r="A54" s="4">
        <v>45042</v>
      </c>
      <c r="B54" s="5">
        <f t="shared" si="1"/>
        <v>2023</v>
      </c>
      <c r="C54">
        <f>A54-DATE(YEAR(A54),1,1)+1</f>
        <v>116</v>
      </c>
      <c r="D54">
        <f t="shared" si="2"/>
        <v>3</v>
      </c>
      <c r="E54">
        <f>WEEKNUM(A54,1)</f>
        <v>17</v>
      </c>
    </row>
    <row r="55" spans="1:5" x14ac:dyDescent="0.45">
      <c r="A55" s="4">
        <v>45044</v>
      </c>
      <c r="B55" s="5">
        <f t="shared" si="1"/>
        <v>2023</v>
      </c>
      <c r="C55">
        <f>A55-DATE(YEAR(A55),1,1)+1</f>
        <v>118</v>
      </c>
      <c r="D55">
        <f t="shared" si="2"/>
        <v>4</v>
      </c>
      <c r="E55">
        <f>WEEKNUM(A55,1)</f>
        <v>17</v>
      </c>
    </row>
    <row r="56" spans="1:5" x14ac:dyDescent="0.45">
      <c r="A56" s="4">
        <v>45047</v>
      </c>
      <c r="B56" s="5">
        <f t="shared" si="1"/>
        <v>2023</v>
      </c>
      <c r="C56">
        <f>A56-DATE(YEAR(A56),1,1)+1</f>
        <v>121</v>
      </c>
      <c r="D56">
        <f t="shared" si="2"/>
        <v>4</v>
      </c>
      <c r="E56">
        <f>WEEKNUM(A56,1)</f>
        <v>18</v>
      </c>
    </row>
    <row r="57" spans="1:5" x14ac:dyDescent="0.45">
      <c r="A57" s="4">
        <v>45049</v>
      </c>
      <c r="B57" s="5">
        <f t="shared" si="1"/>
        <v>2023</v>
      </c>
      <c r="C57">
        <f>A57-DATE(YEAR(A57),1,1)+1</f>
        <v>123</v>
      </c>
      <c r="D57">
        <f t="shared" si="2"/>
        <v>4</v>
      </c>
      <c r="E57">
        <f>WEEKNUM(A57,1)</f>
        <v>18</v>
      </c>
    </row>
    <row r="58" spans="1:5" x14ac:dyDescent="0.45">
      <c r="A58" s="4">
        <v>45051</v>
      </c>
      <c r="B58" s="5">
        <f t="shared" si="1"/>
        <v>2023</v>
      </c>
      <c r="C58">
        <f>A58-DATE(YEAR(A58),1,1)+1</f>
        <v>125</v>
      </c>
      <c r="D58">
        <f t="shared" si="2"/>
        <v>5</v>
      </c>
      <c r="E58">
        <f>WEEKNUM(A58,1)</f>
        <v>18</v>
      </c>
    </row>
    <row r="59" spans="1:5" x14ac:dyDescent="0.45">
      <c r="A59" s="4">
        <v>45052</v>
      </c>
      <c r="B59" s="5">
        <f t="shared" si="1"/>
        <v>2023</v>
      </c>
      <c r="C59">
        <f>A59-DATE(YEAR(A59),1,1)+1</f>
        <v>126</v>
      </c>
      <c r="D59">
        <f t="shared" si="2"/>
        <v>5</v>
      </c>
      <c r="E59">
        <f>WEEKNUM(A59,1)</f>
        <v>18</v>
      </c>
    </row>
    <row r="60" spans="1:5" x14ac:dyDescent="0.45">
      <c r="A60" s="4">
        <v>45057</v>
      </c>
      <c r="B60" s="5">
        <f t="shared" si="1"/>
        <v>2023</v>
      </c>
      <c r="C60">
        <f>A60-DATE(YEAR(A60),1,1)+1</f>
        <v>131</v>
      </c>
      <c r="D60">
        <f t="shared" si="2"/>
        <v>5</v>
      </c>
      <c r="E60">
        <f>WEEKNUM(A60,1)</f>
        <v>19</v>
      </c>
    </row>
    <row r="61" spans="1:5" x14ac:dyDescent="0.45">
      <c r="A61" s="4">
        <v>45061</v>
      </c>
      <c r="B61" s="5">
        <f t="shared" si="1"/>
        <v>2023</v>
      </c>
      <c r="C61">
        <f>A61-DATE(YEAR(A61),1,1)+1</f>
        <v>135</v>
      </c>
      <c r="D61">
        <f t="shared" si="2"/>
        <v>6</v>
      </c>
      <c r="E61">
        <f>WEEKNUM(A61,1)</f>
        <v>20</v>
      </c>
    </row>
    <row r="62" spans="1:5" x14ac:dyDescent="0.45">
      <c r="A62" s="4">
        <v>45062</v>
      </c>
      <c r="B62" s="5">
        <f t="shared" si="1"/>
        <v>2023</v>
      </c>
      <c r="C62">
        <f>A62-DATE(YEAR(A62),1,1)+1</f>
        <v>136</v>
      </c>
      <c r="D62">
        <f t="shared" si="2"/>
        <v>6</v>
      </c>
      <c r="E62">
        <f>WEEKNUM(A62,1)</f>
        <v>20</v>
      </c>
    </row>
    <row r="63" spans="1:5" x14ac:dyDescent="0.45">
      <c r="A63" s="4">
        <v>45065</v>
      </c>
      <c r="B63" s="5">
        <f t="shared" si="1"/>
        <v>2023</v>
      </c>
      <c r="C63">
        <f>A63-DATE(YEAR(A63),1,1)+1</f>
        <v>139</v>
      </c>
      <c r="D63">
        <f t="shared" si="2"/>
        <v>7</v>
      </c>
      <c r="E63">
        <f>WEEKNUM(A63,1)</f>
        <v>20</v>
      </c>
    </row>
    <row r="64" spans="1:5" x14ac:dyDescent="0.45">
      <c r="A64" s="4">
        <v>45068</v>
      </c>
      <c r="B64" s="5">
        <f t="shared" si="1"/>
        <v>2023</v>
      </c>
      <c r="C64">
        <f>A64-DATE(YEAR(A64),1,1)+1</f>
        <v>142</v>
      </c>
      <c r="D64">
        <f t="shared" si="2"/>
        <v>7</v>
      </c>
      <c r="E64">
        <f>WEEKNUM(A64,1)</f>
        <v>21</v>
      </c>
    </row>
    <row r="65" spans="1:5" x14ac:dyDescent="0.45">
      <c r="A65" s="4">
        <v>45071</v>
      </c>
      <c r="B65" s="5">
        <f t="shared" si="1"/>
        <v>2023</v>
      </c>
      <c r="C65">
        <f>A65-DATE(YEAR(A65),1,1)+1</f>
        <v>145</v>
      </c>
      <c r="D65">
        <f t="shared" si="2"/>
        <v>7</v>
      </c>
      <c r="E65">
        <f>WEEKNUM(A65,1)</f>
        <v>21</v>
      </c>
    </row>
    <row r="66" spans="1:5" x14ac:dyDescent="0.45">
      <c r="A66" s="4">
        <v>45076</v>
      </c>
      <c r="B66" s="5">
        <f t="shared" si="1"/>
        <v>2023</v>
      </c>
      <c r="C66">
        <f>A66-DATE(YEAR(A66),1,1)+1</f>
        <v>150</v>
      </c>
      <c r="D66">
        <f t="shared" si="2"/>
        <v>8</v>
      </c>
      <c r="E66">
        <f>WEEKNUM(A66,1)</f>
        <v>22</v>
      </c>
    </row>
    <row r="67" spans="1:5" x14ac:dyDescent="0.45">
      <c r="A67" s="4">
        <v>45077</v>
      </c>
      <c r="B67" s="5">
        <f t="shared" ref="B67:B95" si="7">YEAR(A67)</f>
        <v>2023</v>
      </c>
      <c r="C67">
        <f>A67-DATE(YEAR(A67),1,1)+1</f>
        <v>151</v>
      </c>
      <c r="D67">
        <f t="shared" ref="D67:D95" si="8">IF(C67&lt;90,"",INT((C67-90)/7))</f>
        <v>8</v>
      </c>
      <c r="E67">
        <f>WEEKNUM(A67,1)</f>
        <v>22</v>
      </c>
    </row>
    <row r="68" spans="1:5" x14ac:dyDescent="0.45">
      <c r="A68" s="4">
        <v>45083</v>
      </c>
      <c r="B68" s="5">
        <f t="shared" si="7"/>
        <v>2023</v>
      </c>
      <c r="C68">
        <f>A68-DATE(YEAR(A68),1,1)+1</f>
        <v>157</v>
      </c>
      <c r="D68">
        <f t="shared" si="8"/>
        <v>9</v>
      </c>
      <c r="E68">
        <f>WEEKNUM(A68,1)</f>
        <v>23</v>
      </c>
    </row>
    <row r="69" spans="1:5" x14ac:dyDescent="0.45">
      <c r="A69" s="4">
        <v>45084</v>
      </c>
      <c r="B69" s="5">
        <f t="shared" si="7"/>
        <v>2023</v>
      </c>
      <c r="C69">
        <f>A69-DATE(YEAR(A69),1,1)+1</f>
        <v>158</v>
      </c>
      <c r="D69">
        <f t="shared" si="8"/>
        <v>9</v>
      </c>
      <c r="E69">
        <f>WEEKNUM(A69,1)</f>
        <v>23</v>
      </c>
    </row>
    <row r="70" spans="1:5" x14ac:dyDescent="0.45">
      <c r="A70" s="4">
        <v>45085</v>
      </c>
      <c r="B70" s="5">
        <f t="shared" si="7"/>
        <v>2023</v>
      </c>
      <c r="C70">
        <f>A70-DATE(YEAR(A70),1,1)+1</f>
        <v>159</v>
      </c>
      <c r="D70">
        <f t="shared" si="8"/>
        <v>9</v>
      </c>
      <c r="E70">
        <f>WEEKNUM(A70,1)</f>
        <v>23</v>
      </c>
    </row>
    <row r="71" spans="1:5" x14ac:dyDescent="0.45">
      <c r="A71" s="4">
        <v>45088</v>
      </c>
      <c r="B71" s="5">
        <f t="shared" si="7"/>
        <v>2023</v>
      </c>
      <c r="C71">
        <f>A71-DATE(YEAR(A71),1,1)+1</f>
        <v>162</v>
      </c>
      <c r="D71">
        <f t="shared" si="8"/>
        <v>10</v>
      </c>
      <c r="E71">
        <f>WEEKNUM(A71,1)</f>
        <v>24</v>
      </c>
    </row>
    <row r="72" spans="1:5" x14ac:dyDescent="0.45">
      <c r="A72" s="4">
        <v>45090</v>
      </c>
      <c r="B72" s="5">
        <f t="shared" si="7"/>
        <v>2023</v>
      </c>
      <c r="C72">
        <f>A72-DATE(YEAR(A72),1,1)+1</f>
        <v>164</v>
      </c>
      <c r="D72">
        <f t="shared" si="8"/>
        <v>10</v>
      </c>
      <c r="E72">
        <f>WEEKNUM(A72,1)</f>
        <v>24</v>
      </c>
    </row>
    <row r="73" spans="1:5" x14ac:dyDescent="0.45">
      <c r="A73" s="4">
        <v>45092</v>
      </c>
      <c r="B73" s="5">
        <f t="shared" si="7"/>
        <v>2023</v>
      </c>
      <c r="C73">
        <f>A73-DATE(YEAR(A73),1,1)+1</f>
        <v>166</v>
      </c>
      <c r="D73">
        <f t="shared" si="8"/>
        <v>10</v>
      </c>
      <c r="E73">
        <f>WEEKNUM(A73,1)</f>
        <v>24</v>
      </c>
    </row>
    <row r="74" spans="1:5" x14ac:dyDescent="0.45">
      <c r="A74" s="4">
        <v>45095</v>
      </c>
      <c r="B74" s="5">
        <f t="shared" si="7"/>
        <v>2023</v>
      </c>
      <c r="C74">
        <f>A74-DATE(YEAR(A74),1,1)+1</f>
        <v>169</v>
      </c>
      <c r="D74">
        <f t="shared" si="8"/>
        <v>11</v>
      </c>
      <c r="E74">
        <f>WEEKNUM(A74,1)</f>
        <v>25</v>
      </c>
    </row>
    <row r="75" spans="1:5" x14ac:dyDescent="0.45">
      <c r="A75" s="4">
        <v>45097</v>
      </c>
      <c r="B75" s="5">
        <f t="shared" si="7"/>
        <v>2023</v>
      </c>
      <c r="C75">
        <f>A75-DATE(YEAR(A75),1,1)+1</f>
        <v>171</v>
      </c>
      <c r="D75">
        <f t="shared" si="8"/>
        <v>11</v>
      </c>
      <c r="E75">
        <f>WEEKNUM(A75,1)</f>
        <v>25</v>
      </c>
    </row>
    <row r="76" spans="1:5" x14ac:dyDescent="0.45">
      <c r="A76" s="4">
        <v>45099</v>
      </c>
      <c r="B76" s="5">
        <f t="shared" si="7"/>
        <v>2023</v>
      </c>
      <c r="C76">
        <f>A76-DATE(YEAR(A76),1,1)+1</f>
        <v>173</v>
      </c>
      <c r="D76">
        <f t="shared" si="8"/>
        <v>11</v>
      </c>
      <c r="E76">
        <f>WEEKNUM(A76,1)</f>
        <v>25</v>
      </c>
    </row>
    <row r="77" spans="1:5" x14ac:dyDescent="0.45">
      <c r="A77" s="4">
        <v>45105</v>
      </c>
      <c r="B77" s="5">
        <f t="shared" si="7"/>
        <v>2023</v>
      </c>
      <c r="C77">
        <f>A77-DATE(YEAR(A77),1,1)+1</f>
        <v>179</v>
      </c>
      <c r="D77">
        <f t="shared" si="8"/>
        <v>12</v>
      </c>
      <c r="E77">
        <f>WEEKNUM(A77,1)</f>
        <v>26</v>
      </c>
    </row>
    <row r="78" spans="1:5" x14ac:dyDescent="0.45">
      <c r="A78" s="4">
        <v>45109</v>
      </c>
      <c r="B78" s="5">
        <f t="shared" si="7"/>
        <v>2023</v>
      </c>
      <c r="C78">
        <f>A78-DATE(YEAR(A78),1,1)+1</f>
        <v>183</v>
      </c>
      <c r="D78">
        <f t="shared" si="8"/>
        <v>13</v>
      </c>
      <c r="E78">
        <f>WEEKNUM(A78,1)</f>
        <v>27</v>
      </c>
    </row>
    <row r="79" spans="1:5" x14ac:dyDescent="0.45">
      <c r="A79" s="4">
        <v>45120</v>
      </c>
      <c r="B79" s="5">
        <f t="shared" si="7"/>
        <v>2023</v>
      </c>
      <c r="C79">
        <f>A79-DATE(YEAR(A79),1,1)+1</f>
        <v>194</v>
      </c>
      <c r="D79">
        <f t="shared" si="8"/>
        <v>14</v>
      </c>
      <c r="E79">
        <f>WEEKNUM(A79,1)</f>
        <v>28</v>
      </c>
    </row>
    <row r="80" spans="1:5" x14ac:dyDescent="0.45">
      <c r="A80" s="4">
        <v>45123</v>
      </c>
      <c r="B80" s="5">
        <f t="shared" si="7"/>
        <v>2023</v>
      </c>
      <c r="C80">
        <f>A80-DATE(YEAR(A80),1,1)+1</f>
        <v>197</v>
      </c>
      <c r="D80">
        <f t="shared" si="8"/>
        <v>15</v>
      </c>
      <c r="E80">
        <f>WEEKNUM(A80,1)</f>
        <v>29</v>
      </c>
    </row>
    <row r="81" spans="1:5" x14ac:dyDescent="0.45">
      <c r="A81" s="4">
        <v>45402</v>
      </c>
      <c r="B81" s="5">
        <f t="shared" si="7"/>
        <v>2024</v>
      </c>
      <c r="C81">
        <f>A81-DATE(YEAR(A81),1,1)+1</f>
        <v>111</v>
      </c>
      <c r="D81">
        <f t="shared" si="8"/>
        <v>3</v>
      </c>
      <c r="E81">
        <f>WEEKNUM(A81,1)</f>
        <v>16</v>
      </c>
    </row>
    <row r="82" spans="1:5" x14ac:dyDescent="0.45">
      <c r="A82" s="4">
        <v>45411</v>
      </c>
      <c r="B82" s="5">
        <f t="shared" si="7"/>
        <v>2024</v>
      </c>
      <c r="C82">
        <f>A82-DATE(YEAR(A82),1,1)+1</f>
        <v>120</v>
      </c>
      <c r="D82">
        <f t="shared" si="8"/>
        <v>4</v>
      </c>
      <c r="E82">
        <f>WEEKNUM(A82,1)</f>
        <v>18</v>
      </c>
    </row>
    <row r="83" spans="1:5" x14ac:dyDescent="0.45">
      <c r="A83" s="4">
        <v>45414</v>
      </c>
      <c r="B83" s="5">
        <f t="shared" si="7"/>
        <v>2024</v>
      </c>
      <c r="C83">
        <f>A83-DATE(YEAR(A83),1,1)+1</f>
        <v>123</v>
      </c>
      <c r="D83">
        <f t="shared" si="8"/>
        <v>4</v>
      </c>
      <c r="E83">
        <f>WEEKNUM(A83,1)</f>
        <v>18</v>
      </c>
    </row>
    <row r="84" spans="1:5" x14ac:dyDescent="0.45">
      <c r="A84" s="4">
        <v>45417</v>
      </c>
      <c r="B84" s="5">
        <f t="shared" si="7"/>
        <v>2024</v>
      </c>
      <c r="C84">
        <f>A84-DATE(YEAR(A84),1,1)+1</f>
        <v>126</v>
      </c>
      <c r="D84">
        <f t="shared" si="8"/>
        <v>5</v>
      </c>
      <c r="E84">
        <f>WEEKNUM(A84,1)</f>
        <v>19</v>
      </c>
    </row>
    <row r="85" spans="1:5" x14ac:dyDescent="0.45">
      <c r="A85" s="4">
        <v>45422</v>
      </c>
      <c r="B85" s="5">
        <f t="shared" si="7"/>
        <v>2024</v>
      </c>
      <c r="C85">
        <f>A85-DATE(YEAR(A85),1,1)+1</f>
        <v>131</v>
      </c>
      <c r="D85">
        <f t="shared" si="8"/>
        <v>5</v>
      </c>
      <c r="E85">
        <f>WEEKNUM(A85,1)</f>
        <v>19</v>
      </c>
    </row>
    <row r="86" spans="1:5" x14ac:dyDescent="0.45">
      <c r="A86" s="4">
        <v>45436</v>
      </c>
      <c r="B86" s="5">
        <f t="shared" si="7"/>
        <v>2024</v>
      </c>
      <c r="C86">
        <f>A86-DATE(YEAR(A86),1,1)+1</f>
        <v>145</v>
      </c>
      <c r="D86">
        <f t="shared" si="8"/>
        <v>7</v>
      </c>
      <c r="E86">
        <f>WEEKNUM(A86,1)</f>
        <v>21</v>
      </c>
    </row>
    <row r="87" spans="1:5" x14ac:dyDescent="0.45">
      <c r="A87" s="4">
        <v>45437</v>
      </c>
      <c r="B87" s="5">
        <f t="shared" si="7"/>
        <v>2024</v>
      </c>
      <c r="C87">
        <f>A87-DATE(YEAR(A87),1,1)+1</f>
        <v>146</v>
      </c>
      <c r="D87">
        <f t="shared" si="8"/>
        <v>8</v>
      </c>
      <c r="E87">
        <f>WEEKNUM(A87,1)</f>
        <v>21</v>
      </c>
    </row>
    <row r="88" spans="1:5" x14ac:dyDescent="0.45">
      <c r="A88" s="4">
        <v>45438</v>
      </c>
      <c r="B88" s="5">
        <f t="shared" si="7"/>
        <v>2024</v>
      </c>
      <c r="C88">
        <f>A88-DATE(YEAR(A88),1,1)+1</f>
        <v>147</v>
      </c>
      <c r="D88">
        <f t="shared" si="8"/>
        <v>8</v>
      </c>
      <c r="E88">
        <f>WEEKNUM(A88,1)</f>
        <v>22</v>
      </c>
    </row>
    <row r="89" spans="1:5" x14ac:dyDescent="0.45">
      <c r="A89" s="4">
        <v>45443</v>
      </c>
      <c r="B89" s="5">
        <f t="shared" si="7"/>
        <v>2024</v>
      </c>
      <c r="C89">
        <f>A89-DATE(YEAR(A89),1,1)+1</f>
        <v>152</v>
      </c>
      <c r="D89">
        <f t="shared" si="8"/>
        <v>8</v>
      </c>
      <c r="E89">
        <f>WEEKNUM(A89,1)</f>
        <v>22</v>
      </c>
    </row>
    <row r="90" spans="1:5" x14ac:dyDescent="0.45">
      <c r="A90" s="4">
        <v>45447</v>
      </c>
      <c r="B90" s="5">
        <f t="shared" si="7"/>
        <v>2024</v>
      </c>
      <c r="C90">
        <f>A90-DATE(YEAR(A90),1,1)+1</f>
        <v>156</v>
      </c>
      <c r="D90">
        <f t="shared" si="8"/>
        <v>9</v>
      </c>
      <c r="E90">
        <f>WEEKNUM(A90,1)</f>
        <v>23</v>
      </c>
    </row>
    <row r="91" spans="1:5" x14ac:dyDescent="0.45">
      <c r="A91" s="4">
        <v>45453</v>
      </c>
      <c r="B91" s="5">
        <f t="shared" si="7"/>
        <v>2024</v>
      </c>
      <c r="C91">
        <f>A91-DATE(YEAR(A91),1,1)+1</f>
        <v>162</v>
      </c>
      <c r="D91">
        <f t="shared" si="8"/>
        <v>10</v>
      </c>
      <c r="E91">
        <f>WEEKNUM(A91,1)</f>
        <v>24</v>
      </c>
    </row>
    <row r="92" spans="1:5" x14ac:dyDescent="0.45">
      <c r="A92" s="4">
        <v>45454</v>
      </c>
      <c r="B92" s="5">
        <f t="shared" si="7"/>
        <v>2024</v>
      </c>
      <c r="C92">
        <f>A92-DATE(YEAR(A92),1,1)+1</f>
        <v>163</v>
      </c>
      <c r="D92">
        <f t="shared" si="8"/>
        <v>10</v>
      </c>
      <c r="E92">
        <f>WEEKNUM(A92,1)</f>
        <v>24</v>
      </c>
    </row>
    <row r="93" spans="1:5" x14ac:dyDescent="0.45">
      <c r="A93" s="4">
        <v>45461</v>
      </c>
      <c r="B93" s="5">
        <f t="shared" si="7"/>
        <v>2024</v>
      </c>
      <c r="C93">
        <f>A93-DATE(YEAR(A93),1,1)+1</f>
        <v>170</v>
      </c>
      <c r="D93">
        <f t="shared" si="8"/>
        <v>11</v>
      </c>
      <c r="E93">
        <f>WEEKNUM(A93,1)</f>
        <v>25</v>
      </c>
    </row>
    <row r="94" spans="1:5" x14ac:dyDescent="0.45">
      <c r="A94" s="4">
        <v>45464</v>
      </c>
      <c r="B94" s="5">
        <f t="shared" si="7"/>
        <v>2024</v>
      </c>
      <c r="C94">
        <f>A94-DATE(YEAR(A94),1,1)+1</f>
        <v>173</v>
      </c>
      <c r="D94">
        <f t="shared" si="8"/>
        <v>11</v>
      </c>
      <c r="E94">
        <f>WEEKNUM(A94,1)</f>
        <v>25</v>
      </c>
    </row>
    <row r="95" spans="1:5" x14ac:dyDescent="0.45">
      <c r="A95" s="4">
        <v>45491</v>
      </c>
      <c r="B95" s="5">
        <f t="shared" si="7"/>
        <v>2024</v>
      </c>
      <c r="C95">
        <f>A95-DATE(YEAR(A95),1,1)+1</f>
        <v>200</v>
      </c>
      <c r="D95">
        <f t="shared" si="8"/>
        <v>15</v>
      </c>
      <c r="E95">
        <f>WEEKNUM(A95,1)</f>
        <v>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837A-99BF-42CA-B5C4-0E777F27459C}">
  <dimension ref="A1:B68"/>
  <sheetViews>
    <sheetView topLeftCell="A37" workbookViewId="0">
      <selection activeCell="A11" sqref="A11:A67"/>
    </sheetView>
  </sheetViews>
  <sheetFormatPr defaultRowHeight="14.25" x14ac:dyDescent="0.45"/>
  <cols>
    <col min="1" max="1" width="11.9296875" bestFit="1" customWidth="1"/>
    <col min="2" max="2" width="15.265625" bestFit="1" customWidth="1"/>
  </cols>
  <sheetData>
    <row r="1" spans="1:2" x14ac:dyDescent="0.45">
      <c r="A1" s="2" t="s">
        <v>1</v>
      </c>
      <c r="B1" t="s">
        <v>468</v>
      </c>
    </row>
    <row r="2" spans="1:2" x14ac:dyDescent="0.45">
      <c r="A2" s="2" t="s">
        <v>466</v>
      </c>
      <c r="B2" t="s">
        <v>467</v>
      </c>
    </row>
    <row r="4" spans="1:2" x14ac:dyDescent="0.45">
      <c r="A4" s="2" t="s">
        <v>458</v>
      </c>
    </row>
    <row r="5" spans="1:2" x14ac:dyDescent="0.45">
      <c r="A5" s="3" t="s">
        <v>23</v>
      </c>
    </row>
    <row r="6" spans="1:2" x14ac:dyDescent="0.45">
      <c r="A6" s="3" t="s">
        <v>39</v>
      </c>
    </row>
    <row r="7" spans="1:2" x14ac:dyDescent="0.45">
      <c r="A7" s="4">
        <v>42856</v>
      </c>
    </row>
    <row r="8" spans="1:2" x14ac:dyDescent="0.45">
      <c r="A8" s="4">
        <v>43237</v>
      </c>
    </row>
    <row r="9" spans="1:2" x14ac:dyDescent="0.45">
      <c r="A9" s="4">
        <v>43245</v>
      </c>
    </row>
    <row r="10" spans="1:2" x14ac:dyDescent="0.45">
      <c r="A10" s="4">
        <v>43282</v>
      </c>
    </row>
    <row r="11" spans="1:2" x14ac:dyDescent="0.45">
      <c r="A11" s="4">
        <v>43582</v>
      </c>
    </row>
    <row r="12" spans="1:2" x14ac:dyDescent="0.45">
      <c r="A12" s="4">
        <v>43588</v>
      </c>
    </row>
    <row r="13" spans="1:2" x14ac:dyDescent="0.45">
      <c r="A13" s="4">
        <v>43595</v>
      </c>
    </row>
    <row r="14" spans="1:2" x14ac:dyDescent="0.45">
      <c r="A14" s="4">
        <v>43613</v>
      </c>
    </row>
    <row r="15" spans="1:2" x14ac:dyDescent="0.45">
      <c r="A15" s="4">
        <v>43616</v>
      </c>
    </row>
    <row r="16" spans="1:2" x14ac:dyDescent="0.45">
      <c r="A16" s="4">
        <v>43945</v>
      </c>
    </row>
    <row r="17" spans="1:1" x14ac:dyDescent="0.45">
      <c r="A17" s="4">
        <v>43948</v>
      </c>
    </row>
    <row r="18" spans="1:1" x14ac:dyDescent="0.45">
      <c r="A18" s="4">
        <v>43955</v>
      </c>
    </row>
    <row r="19" spans="1:1" x14ac:dyDescent="0.45">
      <c r="A19" s="4">
        <v>43970</v>
      </c>
    </row>
    <row r="20" spans="1:1" x14ac:dyDescent="0.45">
      <c r="A20" s="4">
        <v>43988</v>
      </c>
    </row>
    <row r="21" spans="1:1" x14ac:dyDescent="0.45">
      <c r="A21" s="4">
        <v>44310</v>
      </c>
    </row>
    <row r="22" spans="1:1" x14ac:dyDescent="0.45">
      <c r="A22" s="4">
        <v>44314</v>
      </c>
    </row>
    <row r="23" spans="1:1" x14ac:dyDescent="0.45">
      <c r="A23" s="4">
        <v>44316</v>
      </c>
    </row>
    <row r="24" spans="1:1" x14ac:dyDescent="0.45">
      <c r="A24" s="4">
        <v>44317</v>
      </c>
    </row>
    <row r="25" spans="1:1" x14ac:dyDescent="0.45">
      <c r="A25" s="4">
        <v>44318</v>
      </c>
    </row>
    <row r="26" spans="1:1" x14ac:dyDescent="0.45">
      <c r="A26" s="4">
        <v>44324</v>
      </c>
    </row>
    <row r="27" spans="1:1" x14ac:dyDescent="0.45">
      <c r="A27" s="4">
        <v>44328</v>
      </c>
    </row>
    <row r="28" spans="1:1" x14ac:dyDescent="0.45">
      <c r="A28" s="4">
        <v>44330</v>
      </c>
    </row>
    <row r="29" spans="1:1" x14ac:dyDescent="0.45">
      <c r="A29" s="4">
        <v>44334</v>
      </c>
    </row>
    <row r="30" spans="1:1" x14ac:dyDescent="0.45">
      <c r="A30" s="4">
        <v>44342</v>
      </c>
    </row>
    <row r="31" spans="1:1" x14ac:dyDescent="0.45">
      <c r="A31" s="4">
        <v>44347</v>
      </c>
    </row>
    <row r="32" spans="1:1" x14ac:dyDescent="0.45">
      <c r="A32" s="4">
        <v>44357</v>
      </c>
    </row>
    <row r="33" spans="1:1" x14ac:dyDescent="0.45">
      <c r="A33" s="4">
        <v>44362</v>
      </c>
    </row>
    <row r="34" spans="1:1" x14ac:dyDescent="0.45">
      <c r="A34" s="4">
        <v>44663</v>
      </c>
    </row>
    <row r="35" spans="1:1" x14ac:dyDescent="0.45">
      <c r="A35" s="4">
        <v>44665</v>
      </c>
    </row>
    <row r="36" spans="1:1" x14ac:dyDescent="0.45">
      <c r="A36" s="4">
        <v>44666</v>
      </c>
    </row>
    <row r="37" spans="1:1" x14ac:dyDescent="0.45">
      <c r="A37" s="4">
        <v>44670</v>
      </c>
    </row>
    <row r="38" spans="1:1" x14ac:dyDescent="0.45">
      <c r="A38" s="4">
        <v>44671</v>
      </c>
    </row>
    <row r="39" spans="1:1" x14ac:dyDescent="0.45">
      <c r="A39" s="4">
        <v>44673</v>
      </c>
    </row>
    <row r="40" spans="1:1" x14ac:dyDescent="0.45">
      <c r="A40" s="4">
        <v>44683</v>
      </c>
    </row>
    <row r="41" spans="1:1" x14ac:dyDescent="0.45">
      <c r="A41" s="4">
        <v>44702</v>
      </c>
    </row>
    <row r="42" spans="1:1" x14ac:dyDescent="0.45">
      <c r="A42" s="4">
        <v>44704</v>
      </c>
    </row>
    <row r="43" spans="1:1" x14ac:dyDescent="0.45">
      <c r="A43" s="4">
        <v>44707</v>
      </c>
    </row>
    <row r="44" spans="1:1" x14ac:dyDescent="0.45">
      <c r="A44" s="4">
        <v>45031</v>
      </c>
    </row>
    <row r="45" spans="1:1" x14ac:dyDescent="0.45">
      <c r="A45" s="4">
        <v>45042</v>
      </c>
    </row>
    <row r="46" spans="1:1" x14ac:dyDescent="0.45">
      <c r="A46" s="4">
        <v>45044</v>
      </c>
    </row>
    <row r="47" spans="1:1" x14ac:dyDescent="0.45">
      <c r="A47" s="4">
        <v>45047</v>
      </c>
    </row>
    <row r="48" spans="1:1" x14ac:dyDescent="0.45">
      <c r="A48" s="4">
        <v>45049</v>
      </c>
    </row>
    <row r="49" spans="1:1" x14ac:dyDescent="0.45">
      <c r="A49" s="4">
        <v>45051</v>
      </c>
    </row>
    <row r="50" spans="1:1" x14ac:dyDescent="0.45">
      <c r="A50" s="4">
        <v>45052</v>
      </c>
    </row>
    <row r="51" spans="1:1" x14ac:dyDescent="0.45">
      <c r="A51" s="4">
        <v>45057</v>
      </c>
    </row>
    <row r="52" spans="1:1" x14ac:dyDescent="0.45">
      <c r="A52" s="4">
        <v>45062</v>
      </c>
    </row>
    <row r="53" spans="1:1" x14ac:dyDescent="0.45">
      <c r="A53" s="4">
        <v>45076</v>
      </c>
    </row>
    <row r="54" spans="1:1" x14ac:dyDescent="0.45">
      <c r="A54" s="4">
        <v>45077</v>
      </c>
    </row>
    <row r="55" spans="1:1" x14ac:dyDescent="0.45">
      <c r="A55" s="4">
        <v>45083</v>
      </c>
    </row>
    <row r="56" spans="1:1" x14ac:dyDescent="0.45">
      <c r="A56" s="4">
        <v>45084</v>
      </c>
    </row>
    <row r="57" spans="1:1" x14ac:dyDescent="0.45">
      <c r="A57" s="4">
        <v>45085</v>
      </c>
    </row>
    <row r="58" spans="1:1" x14ac:dyDescent="0.45">
      <c r="A58" s="4">
        <v>45088</v>
      </c>
    </row>
    <row r="59" spans="1:1" x14ac:dyDescent="0.45">
      <c r="A59" s="4">
        <v>45090</v>
      </c>
    </row>
    <row r="60" spans="1:1" x14ac:dyDescent="0.45">
      <c r="A60" s="4">
        <v>45095</v>
      </c>
    </row>
    <row r="61" spans="1:1" x14ac:dyDescent="0.45">
      <c r="A61" s="4">
        <v>45105</v>
      </c>
    </row>
    <row r="62" spans="1:1" x14ac:dyDescent="0.45">
      <c r="A62" s="4">
        <v>45109</v>
      </c>
    </row>
    <row r="63" spans="1:1" x14ac:dyDescent="0.45">
      <c r="A63" s="4">
        <v>45402</v>
      </c>
    </row>
    <row r="64" spans="1:1" x14ac:dyDescent="0.45">
      <c r="A64" s="4">
        <v>45411</v>
      </c>
    </row>
    <row r="65" spans="1:1" x14ac:dyDescent="0.45">
      <c r="A65" s="4">
        <v>45414</v>
      </c>
    </row>
    <row r="66" spans="1:1" x14ac:dyDescent="0.45">
      <c r="A66" s="4">
        <v>45417</v>
      </c>
    </row>
    <row r="67" spans="1:1" x14ac:dyDescent="0.45">
      <c r="A67" s="4">
        <v>45443</v>
      </c>
    </row>
    <row r="68" spans="1:1" x14ac:dyDescent="0.45">
      <c r="A68" s="3" t="s">
        <v>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C8E2E-7286-47B5-AC64-B3EE4F03820A}">
  <dimension ref="A1:R195"/>
  <sheetViews>
    <sheetView workbookViewId="0">
      <selection sqref="A1:XFD1048576"/>
    </sheetView>
  </sheetViews>
  <sheetFormatPr defaultRowHeight="14.25" x14ac:dyDescent="0.45"/>
  <cols>
    <col min="2" max="2" width="17.1328125" customWidth="1"/>
    <col min="3" max="3" width="24.19921875" customWidth="1"/>
    <col min="9" max="9" width="58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466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45">
      <c r="A2">
        <v>2059</v>
      </c>
      <c r="B2" t="s">
        <v>17</v>
      </c>
      <c r="C2" t="s">
        <v>18</v>
      </c>
      <c r="D2" t="s">
        <v>18</v>
      </c>
      <c r="E2" s="1">
        <v>42796</v>
      </c>
      <c r="F2" s="1">
        <v>42940</v>
      </c>
      <c r="G2" t="s">
        <v>19</v>
      </c>
      <c r="H2" t="s">
        <v>20</v>
      </c>
      <c r="I2" t="s">
        <v>21</v>
      </c>
      <c r="J2" t="s">
        <v>22</v>
      </c>
      <c r="K2" t="str">
        <f>RIGHT(I2,2)</f>
        <v>p1</v>
      </c>
      <c r="L2" s="1">
        <v>42801</v>
      </c>
      <c r="M2" s="1">
        <v>42844</v>
      </c>
      <c r="N2" s="1">
        <v>42856</v>
      </c>
      <c r="O2" t="s">
        <v>23</v>
      </c>
      <c r="P2" t="s">
        <v>23</v>
      </c>
      <c r="Q2" s="1">
        <v>42858</v>
      </c>
      <c r="R2" t="s">
        <v>23</v>
      </c>
    </row>
    <row r="3" spans="1:18" x14ac:dyDescent="0.45">
      <c r="A3">
        <v>2059</v>
      </c>
      <c r="B3" t="s">
        <v>17</v>
      </c>
      <c r="C3" t="s">
        <v>18</v>
      </c>
      <c r="D3" t="s">
        <v>18</v>
      </c>
      <c r="E3" s="1">
        <v>42796</v>
      </c>
      <c r="F3" s="1">
        <v>42940</v>
      </c>
      <c r="G3" t="s">
        <v>19</v>
      </c>
      <c r="H3" t="s">
        <v>20</v>
      </c>
      <c r="I3" t="s">
        <v>24</v>
      </c>
      <c r="J3" t="s">
        <v>25</v>
      </c>
      <c r="K3" t="str">
        <f t="shared" ref="K3:K66" si="0">RIGHT(I3,2)</f>
        <v>p2</v>
      </c>
      <c r="L3" s="1">
        <v>42863</v>
      </c>
      <c r="M3" s="1">
        <v>42873</v>
      </c>
      <c r="N3" s="1">
        <v>42885</v>
      </c>
      <c r="O3" s="1">
        <v>42898</v>
      </c>
      <c r="P3" s="1">
        <v>42908</v>
      </c>
      <c r="Q3" t="s">
        <v>23</v>
      </c>
      <c r="R3" t="s">
        <v>23</v>
      </c>
    </row>
    <row r="4" spans="1:18" x14ac:dyDescent="0.45">
      <c r="A4">
        <v>2059</v>
      </c>
      <c r="B4" t="s">
        <v>17</v>
      </c>
      <c r="C4" t="s">
        <v>18</v>
      </c>
      <c r="D4" t="s">
        <v>18</v>
      </c>
      <c r="E4" s="1">
        <v>42796</v>
      </c>
      <c r="F4" s="1">
        <v>42940</v>
      </c>
      <c r="G4" t="s">
        <v>19</v>
      </c>
      <c r="H4" t="s">
        <v>20</v>
      </c>
      <c r="I4" t="s">
        <v>26</v>
      </c>
      <c r="J4" t="s">
        <v>25</v>
      </c>
      <c r="K4" t="str">
        <f t="shared" si="0"/>
        <v>p3</v>
      </c>
      <c r="L4" s="1">
        <v>42888</v>
      </c>
      <c r="M4" s="1">
        <v>42903</v>
      </c>
      <c r="N4" s="1">
        <v>42915</v>
      </c>
      <c r="O4" t="s">
        <v>23</v>
      </c>
      <c r="P4" t="s">
        <v>23</v>
      </c>
      <c r="Q4" t="s">
        <v>23</v>
      </c>
      <c r="R4" t="s">
        <v>23</v>
      </c>
    </row>
    <row r="5" spans="1:18" x14ac:dyDescent="0.45">
      <c r="A5">
        <v>2719</v>
      </c>
      <c r="B5" t="s">
        <v>17</v>
      </c>
      <c r="C5" t="s">
        <v>27</v>
      </c>
      <c r="D5" t="s">
        <v>27</v>
      </c>
      <c r="E5" s="1">
        <v>43140</v>
      </c>
      <c r="F5" s="1">
        <v>43277</v>
      </c>
      <c r="G5" t="s">
        <v>28</v>
      </c>
      <c r="I5" t="s">
        <v>29</v>
      </c>
      <c r="J5" t="s">
        <v>25</v>
      </c>
      <c r="K5" t="str">
        <f t="shared" si="0"/>
        <v>p1</v>
      </c>
      <c r="L5" s="1">
        <v>43224</v>
      </c>
      <c r="M5" s="1">
        <v>43233</v>
      </c>
      <c r="N5" s="1">
        <v>43245</v>
      </c>
      <c r="O5" s="1">
        <v>43262</v>
      </c>
      <c r="P5" s="1">
        <v>43274</v>
      </c>
      <c r="Q5" t="s">
        <v>23</v>
      </c>
      <c r="R5" t="s">
        <v>23</v>
      </c>
    </row>
    <row r="6" spans="1:18" x14ac:dyDescent="0.45">
      <c r="A6">
        <v>2908</v>
      </c>
      <c r="B6" t="s">
        <v>17</v>
      </c>
      <c r="C6" t="s">
        <v>30</v>
      </c>
      <c r="D6" t="s">
        <v>31</v>
      </c>
      <c r="E6" s="1">
        <v>43873</v>
      </c>
      <c r="F6" s="1">
        <v>44023</v>
      </c>
      <c r="G6" t="s">
        <v>32</v>
      </c>
      <c r="I6" t="s">
        <v>33</v>
      </c>
      <c r="J6" t="s">
        <v>32</v>
      </c>
      <c r="K6" t="str">
        <f t="shared" si="0"/>
        <v>p1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</row>
    <row r="7" spans="1:18" x14ac:dyDescent="0.45">
      <c r="A7">
        <v>2915</v>
      </c>
      <c r="B7" t="s">
        <v>17</v>
      </c>
      <c r="C7" t="s">
        <v>34</v>
      </c>
      <c r="D7" t="s">
        <v>34</v>
      </c>
      <c r="E7" s="1">
        <v>43873</v>
      </c>
      <c r="F7" s="1">
        <v>44022</v>
      </c>
      <c r="G7" t="s">
        <v>32</v>
      </c>
      <c r="I7" t="s">
        <v>35</v>
      </c>
      <c r="J7" t="s">
        <v>32</v>
      </c>
      <c r="K7" t="str">
        <f t="shared" si="0"/>
        <v>p1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</row>
    <row r="8" spans="1:18" x14ac:dyDescent="0.45">
      <c r="A8">
        <v>3150</v>
      </c>
      <c r="B8" t="s">
        <v>36</v>
      </c>
      <c r="C8" t="s">
        <v>37</v>
      </c>
      <c r="D8" t="s">
        <v>37</v>
      </c>
      <c r="E8" s="1">
        <v>43212</v>
      </c>
      <c r="F8" s="1">
        <v>43239</v>
      </c>
      <c r="G8" t="s">
        <v>32</v>
      </c>
      <c r="I8" t="s">
        <v>38</v>
      </c>
      <c r="J8" t="s">
        <v>32</v>
      </c>
      <c r="K8" t="str">
        <f t="shared" si="0"/>
        <v>p1</v>
      </c>
      <c r="L8" t="s">
        <v>39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</row>
    <row r="9" spans="1:18" x14ac:dyDescent="0.45">
      <c r="A9">
        <v>3281</v>
      </c>
      <c r="B9" t="s">
        <v>40</v>
      </c>
      <c r="C9" t="s">
        <v>41</v>
      </c>
      <c r="D9" t="s">
        <v>41</v>
      </c>
      <c r="E9" s="1">
        <v>43224</v>
      </c>
      <c r="F9" s="1">
        <v>43255</v>
      </c>
      <c r="G9" t="s">
        <v>42</v>
      </c>
      <c r="I9" t="s">
        <v>43</v>
      </c>
      <c r="J9" t="s">
        <v>22</v>
      </c>
      <c r="K9" t="str">
        <f t="shared" si="0"/>
        <v>p1</v>
      </c>
      <c r="L9" t="s">
        <v>39</v>
      </c>
      <c r="M9" s="1">
        <v>43225</v>
      </c>
      <c r="N9" s="1">
        <v>43237</v>
      </c>
      <c r="O9" t="s">
        <v>23</v>
      </c>
      <c r="P9" t="s">
        <v>23</v>
      </c>
      <c r="Q9" s="1">
        <v>43242</v>
      </c>
      <c r="R9" t="s">
        <v>23</v>
      </c>
    </row>
    <row r="10" spans="1:18" x14ac:dyDescent="0.45">
      <c r="A10">
        <v>3348</v>
      </c>
      <c r="B10" t="s">
        <v>44</v>
      </c>
      <c r="C10" t="s">
        <v>45</v>
      </c>
      <c r="D10" t="s">
        <v>46</v>
      </c>
      <c r="E10" s="1">
        <v>43277</v>
      </c>
      <c r="F10" s="1">
        <v>43304</v>
      </c>
      <c r="G10" t="s">
        <v>42</v>
      </c>
      <c r="I10" t="s">
        <v>47</v>
      </c>
      <c r="J10" t="s">
        <v>25</v>
      </c>
      <c r="K10" t="str">
        <f t="shared" si="0"/>
        <v>p1</v>
      </c>
      <c r="L10" t="s">
        <v>39</v>
      </c>
      <c r="M10" s="1">
        <v>43270</v>
      </c>
      <c r="N10" s="1">
        <v>43282</v>
      </c>
      <c r="O10" s="1">
        <v>43294</v>
      </c>
      <c r="P10" s="1">
        <v>43298</v>
      </c>
      <c r="Q10" t="s">
        <v>23</v>
      </c>
      <c r="R10" t="s">
        <v>23</v>
      </c>
    </row>
    <row r="11" spans="1:18" x14ac:dyDescent="0.45">
      <c r="A11">
        <v>3366</v>
      </c>
      <c r="B11" t="s">
        <v>44</v>
      </c>
      <c r="C11" t="s">
        <v>48</v>
      </c>
      <c r="D11" t="s">
        <v>49</v>
      </c>
      <c r="E11" s="1">
        <v>43277</v>
      </c>
      <c r="F11" s="1">
        <v>43294</v>
      </c>
      <c r="G11" t="s">
        <v>42</v>
      </c>
      <c r="I11" t="s">
        <v>50</v>
      </c>
      <c r="J11" t="s">
        <v>25</v>
      </c>
      <c r="K11" t="str">
        <f t="shared" si="0"/>
        <v>p1</v>
      </c>
      <c r="L11" t="s">
        <v>39</v>
      </c>
      <c r="M11" t="s">
        <v>39</v>
      </c>
      <c r="N11" t="s">
        <v>39</v>
      </c>
      <c r="O11" t="s">
        <v>39</v>
      </c>
      <c r="P11" t="s">
        <v>51</v>
      </c>
      <c r="Q11" t="s">
        <v>23</v>
      </c>
      <c r="R11" t="s">
        <v>23</v>
      </c>
    </row>
    <row r="12" spans="1:18" x14ac:dyDescent="0.45">
      <c r="A12">
        <v>3682</v>
      </c>
      <c r="B12" t="s">
        <v>52</v>
      </c>
      <c r="C12" t="s">
        <v>53</v>
      </c>
      <c r="D12" t="s">
        <v>54</v>
      </c>
      <c r="E12" s="1">
        <v>43200</v>
      </c>
      <c r="F12" s="1">
        <v>43217</v>
      </c>
      <c r="G12" t="s">
        <v>42</v>
      </c>
      <c r="I12" t="s">
        <v>55</v>
      </c>
      <c r="J12" t="s">
        <v>22</v>
      </c>
      <c r="K12" t="str">
        <f t="shared" si="0"/>
        <v>p1</v>
      </c>
      <c r="L12" t="s">
        <v>39</v>
      </c>
      <c r="M12" t="s">
        <v>23</v>
      </c>
      <c r="N12" t="s">
        <v>23</v>
      </c>
      <c r="O12" t="s">
        <v>23</v>
      </c>
      <c r="P12" t="s">
        <v>23</v>
      </c>
      <c r="Q12" s="1">
        <v>43212</v>
      </c>
      <c r="R12" t="s">
        <v>23</v>
      </c>
    </row>
    <row r="13" spans="1:18" x14ac:dyDescent="0.45">
      <c r="A13">
        <v>4455</v>
      </c>
      <c r="B13" t="s">
        <v>17</v>
      </c>
      <c r="C13" t="s">
        <v>56</v>
      </c>
      <c r="D13" t="s">
        <v>57</v>
      </c>
      <c r="E13" s="1">
        <v>43541</v>
      </c>
      <c r="F13" s="1">
        <v>43653</v>
      </c>
      <c r="G13" t="s">
        <v>58</v>
      </c>
      <c r="I13" t="s">
        <v>59</v>
      </c>
      <c r="J13" t="s">
        <v>25</v>
      </c>
      <c r="K13" t="str">
        <f t="shared" si="0"/>
        <v>p1</v>
      </c>
      <c r="L13" s="1">
        <v>43550</v>
      </c>
      <c r="M13" s="1">
        <v>43583</v>
      </c>
      <c r="N13" s="1">
        <v>43595</v>
      </c>
      <c r="O13" s="1">
        <v>43608</v>
      </c>
      <c r="P13" s="1">
        <v>43615</v>
      </c>
      <c r="Q13" t="s">
        <v>23</v>
      </c>
      <c r="R13" t="s">
        <v>23</v>
      </c>
    </row>
    <row r="14" spans="1:18" x14ac:dyDescent="0.45">
      <c r="A14">
        <v>4455</v>
      </c>
      <c r="B14" t="s">
        <v>17</v>
      </c>
      <c r="C14" t="s">
        <v>56</v>
      </c>
      <c r="D14" t="s">
        <v>57</v>
      </c>
      <c r="E14" s="1">
        <v>43541</v>
      </c>
      <c r="F14" s="1">
        <v>43653</v>
      </c>
      <c r="G14" t="s">
        <v>58</v>
      </c>
      <c r="I14" t="s">
        <v>60</v>
      </c>
      <c r="J14" t="s">
        <v>22</v>
      </c>
      <c r="K14" t="str">
        <f t="shared" si="0"/>
        <v>p2</v>
      </c>
      <c r="L14" s="1">
        <v>43604</v>
      </c>
      <c r="M14" t="s">
        <v>23</v>
      </c>
      <c r="N14" t="s">
        <v>23</v>
      </c>
      <c r="O14" t="s">
        <v>23</v>
      </c>
      <c r="P14" t="s">
        <v>23</v>
      </c>
      <c r="Q14" s="1">
        <v>43616</v>
      </c>
      <c r="R14" t="s">
        <v>23</v>
      </c>
    </row>
    <row r="15" spans="1:18" x14ac:dyDescent="0.45">
      <c r="A15">
        <v>4456</v>
      </c>
      <c r="B15" t="s">
        <v>17</v>
      </c>
      <c r="C15" t="s">
        <v>61</v>
      </c>
      <c r="D15" t="s">
        <v>61</v>
      </c>
      <c r="E15" s="1">
        <v>43563</v>
      </c>
      <c r="F15" s="1">
        <v>43653</v>
      </c>
      <c r="G15" t="s">
        <v>58</v>
      </c>
      <c r="I15" t="s">
        <v>62</v>
      </c>
      <c r="J15" t="s">
        <v>25</v>
      </c>
      <c r="K15" t="str">
        <f t="shared" si="0"/>
        <v>p1</v>
      </c>
      <c r="L15" s="1">
        <v>43563</v>
      </c>
      <c r="M15" s="1">
        <v>43570</v>
      </c>
      <c r="N15" s="1">
        <v>43582</v>
      </c>
      <c r="O15" s="1">
        <v>43596</v>
      </c>
      <c r="P15" s="1">
        <v>43614</v>
      </c>
      <c r="Q15" t="s">
        <v>23</v>
      </c>
      <c r="R15" t="s">
        <v>23</v>
      </c>
    </row>
    <row r="16" spans="1:18" x14ac:dyDescent="0.45">
      <c r="A16">
        <v>4456</v>
      </c>
      <c r="B16" t="s">
        <v>17</v>
      </c>
      <c r="C16" t="s">
        <v>61</v>
      </c>
      <c r="D16" t="s">
        <v>61</v>
      </c>
      <c r="E16" s="1">
        <v>43563</v>
      </c>
      <c r="F16" s="1">
        <v>43653</v>
      </c>
      <c r="G16" t="s">
        <v>58</v>
      </c>
      <c r="I16" t="s">
        <v>63</v>
      </c>
      <c r="J16" t="s">
        <v>64</v>
      </c>
      <c r="K16" t="str">
        <f t="shared" si="0"/>
        <v>p2</v>
      </c>
      <c r="L16" s="1">
        <v>43604</v>
      </c>
      <c r="M16" s="1">
        <v>43613</v>
      </c>
      <c r="N16" s="1">
        <v>43625</v>
      </c>
      <c r="O16" s="1">
        <v>43638</v>
      </c>
      <c r="P16" s="1">
        <v>43648</v>
      </c>
      <c r="Q16" t="s">
        <v>23</v>
      </c>
      <c r="R16" s="1">
        <v>43629</v>
      </c>
    </row>
    <row r="17" spans="1:18" x14ac:dyDescent="0.45">
      <c r="A17">
        <v>4639</v>
      </c>
      <c r="B17" t="s">
        <v>17</v>
      </c>
      <c r="C17" t="s">
        <v>65</v>
      </c>
      <c r="D17" t="s">
        <v>66</v>
      </c>
      <c r="E17" s="1">
        <v>43541</v>
      </c>
      <c r="F17" s="1">
        <v>43653</v>
      </c>
      <c r="G17" t="s">
        <v>58</v>
      </c>
      <c r="I17" t="s">
        <v>67</v>
      </c>
      <c r="J17" t="s">
        <v>25</v>
      </c>
      <c r="K17" t="str">
        <f t="shared" si="0"/>
        <v>p1</v>
      </c>
      <c r="L17" s="1">
        <v>43553</v>
      </c>
      <c r="M17" t="s">
        <v>23</v>
      </c>
      <c r="N17" t="s">
        <v>23</v>
      </c>
      <c r="O17" s="1">
        <v>43602</v>
      </c>
      <c r="P17" s="1">
        <v>43605</v>
      </c>
      <c r="Q17" t="s">
        <v>23</v>
      </c>
      <c r="R17" t="s">
        <v>23</v>
      </c>
    </row>
    <row r="18" spans="1:18" x14ac:dyDescent="0.45">
      <c r="A18">
        <v>4639</v>
      </c>
      <c r="B18" t="s">
        <v>17</v>
      </c>
      <c r="C18" t="s">
        <v>65</v>
      </c>
      <c r="D18" t="s">
        <v>66</v>
      </c>
      <c r="E18" s="1">
        <v>43541</v>
      </c>
      <c r="F18" s="1">
        <v>43653</v>
      </c>
      <c r="G18" t="s">
        <v>58</v>
      </c>
      <c r="I18" t="s">
        <v>68</v>
      </c>
      <c r="J18" t="s">
        <v>25</v>
      </c>
      <c r="K18" t="str">
        <f t="shared" si="0"/>
        <v>p2</v>
      </c>
      <c r="L18" s="1">
        <v>43604</v>
      </c>
      <c r="M18" s="1">
        <v>43608</v>
      </c>
      <c r="N18" s="1">
        <v>43620</v>
      </c>
      <c r="O18" s="1">
        <v>43633</v>
      </c>
      <c r="P18" s="1">
        <v>43650</v>
      </c>
      <c r="Q18" t="s">
        <v>23</v>
      </c>
      <c r="R18" t="s">
        <v>23</v>
      </c>
    </row>
    <row r="19" spans="1:18" x14ac:dyDescent="0.45">
      <c r="A19">
        <v>4979</v>
      </c>
      <c r="B19" t="s">
        <v>36</v>
      </c>
      <c r="C19" t="s">
        <v>69</v>
      </c>
      <c r="D19" t="s">
        <v>69</v>
      </c>
      <c r="E19" s="1">
        <v>43579</v>
      </c>
      <c r="F19" s="1">
        <v>43678</v>
      </c>
      <c r="G19" t="s">
        <v>70</v>
      </c>
      <c r="I19" t="s">
        <v>71</v>
      </c>
      <c r="J19" t="s">
        <v>25</v>
      </c>
      <c r="K19" t="str">
        <f t="shared" si="0"/>
        <v>p1</v>
      </c>
      <c r="L19" t="s">
        <v>39</v>
      </c>
      <c r="M19" s="1">
        <v>43576</v>
      </c>
      <c r="N19" s="1">
        <v>43588</v>
      </c>
      <c r="O19" s="1">
        <v>43599</v>
      </c>
      <c r="P19" s="1">
        <v>43652</v>
      </c>
      <c r="Q19" t="s">
        <v>23</v>
      </c>
      <c r="R19" t="s">
        <v>23</v>
      </c>
    </row>
    <row r="20" spans="1:18" x14ac:dyDescent="0.45">
      <c r="A20">
        <v>5637</v>
      </c>
      <c r="B20" t="s">
        <v>44</v>
      </c>
      <c r="C20" t="s">
        <v>72</v>
      </c>
      <c r="D20" t="s">
        <v>72</v>
      </c>
      <c r="E20" s="1">
        <v>43595</v>
      </c>
      <c r="F20" s="1">
        <v>43654</v>
      </c>
      <c r="G20" t="s">
        <v>28</v>
      </c>
      <c r="I20" t="s">
        <v>73</v>
      </c>
      <c r="J20" t="s">
        <v>25</v>
      </c>
      <c r="K20" t="str">
        <f t="shared" si="0"/>
        <v>p1</v>
      </c>
      <c r="L20" t="s">
        <v>39</v>
      </c>
      <c r="M20" s="1">
        <v>43601</v>
      </c>
      <c r="N20" s="1">
        <v>43613</v>
      </c>
      <c r="O20" s="1">
        <v>43632</v>
      </c>
      <c r="P20" s="1">
        <v>43634</v>
      </c>
      <c r="Q20" t="s">
        <v>23</v>
      </c>
      <c r="R20" t="s">
        <v>23</v>
      </c>
    </row>
    <row r="21" spans="1:18" x14ac:dyDescent="0.45">
      <c r="A21">
        <v>5638</v>
      </c>
      <c r="B21" t="s">
        <v>17</v>
      </c>
      <c r="C21" t="s">
        <v>74</v>
      </c>
      <c r="D21" t="s">
        <v>74</v>
      </c>
      <c r="E21" s="1">
        <v>43502</v>
      </c>
      <c r="F21" s="1">
        <v>43652</v>
      </c>
      <c r="G21" t="s">
        <v>42</v>
      </c>
      <c r="I21" t="s">
        <v>75</v>
      </c>
      <c r="J21" t="s">
        <v>22</v>
      </c>
      <c r="K21" t="str">
        <f t="shared" si="0"/>
        <v>p1</v>
      </c>
      <c r="L21" s="1">
        <v>43586</v>
      </c>
      <c r="M21" s="1">
        <v>43593</v>
      </c>
      <c r="N21" t="s">
        <v>23</v>
      </c>
      <c r="O21" t="s">
        <v>23</v>
      </c>
      <c r="P21" t="s">
        <v>23</v>
      </c>
      <c r="Q21" s="1">
        <v>43607</v>
      </c>
      <c r="R21" t="s">
        <v>23</v>
      </c>
    </row>
    <row r="22" spans="1:18" x14ac:dyDescent="0.45">
      <c r="A22">
        <v>5640</v>
      </c>
      <c r="B22" t="s">
        <v>44</v>
      </c>
      <c r="C22" t="s">
        <v>76</v>
      </c>
      <c r="D22" t="s">
        <v>76</v>
      </c>
      <c r="E22" s="1">
        <v>43595</v>
      </c>
      <c r="F22" s="1">
        <v>43654</v>
      </c>
      <c r="G22" t="s">
        <v>28</v>
      </c>
      <c r="I22" t="s">
        <v>77</v>
      </c>
      <c r="J22" t="s">
        <v>64</v>
      </c>
      <c r="K22" t="str">
        <f t="shared" si="0"/>
        <v>p1</v>
      </c>
      <c r="L22" t="s">
        <v>39</v>
      </c>
      <c r="M22" s="1">
        <v>43604</v>
      </c>
      <c r="N22" s="1">
        <v>43616</v>
      </c>
      <c r="O22" s="1">
        <v>43625</v>
      </c>
      <c r="P22" s="1">
        <v>43636</v>
      </c>
      <c r="Q22" t="s">
        <v>23</v>
      </c>
      <c r="R22" s="1">
        <v>43609</v>
      </c>
    </row>
    <row r="23" spans="1:18" x14ac:dyDescent="0.45">
      <c r="A23">
        <v>5642</v>
      </c>
      <c r="B23" t="s">
        <v>78</v>
      </c>
      <c r="C23" t="s">
        <v>79</v>
      </c>
      <c r="D23" t="s">
        <v>80</v>
      </c>
      <c r="E23" s="1">
        <v>43612</v>
      </c>
      <c r="F23" s="1">
        <v>43689</v>
      </c>
      <c r="G23" t="s">
        <v>28</v>
      </c>
      <c r="I23" t="s">
        <v>81</v>
      </c>
      <c r="J23" t="s">
        <v>25</v>
      </c>
      <c r="K23" t="str">
        <f t="shared" si="0"/>
        <v>p1</v>
      </c>
      <c r="L23" t="s">
        <v>39</v>
      </c>
      <c r="M23" s="1">
        <v>43616</v>
      </c>
      <c r="N23" s="1">
        <v>43628</v>
      </c>
      <c r="O23" s="1">
        <v>43643</v>
      </c>
      <c r="P23" s="1">
        <v>43667</v>
      </c>
      <c r="Q23" t="s">
        <v>23</v>
      </c>
      <c r="R23" t="s">
        <v>23</v>
      </c>
    </row>
    <row r="24" spans="1:18" x14ac:dyDescent="0.45">
      <c r="A24">
        <v>5643</v>
      </c>
      <c r="B24" t="s">
        <v>78</v>
      </c>
      <c r="C24" t="s">
        <v>82</v>
      </c>
      <c r="D24" t="s">
        <v>83</v>
      </c>
      <c r="E24" s="1">
        <v>43606</v>
      </c>
      <c r="F24" s="1">
        <v>43634</v>
      </c>
      <c r="G24" t="s">
        <v>28</v>
      </c>
      <c r="I24" t="s">
        <v>84</v>
      </c>
      <c r="J24" t="s">
        <v>25</v>
      </c>
      <c r="K24" t="str">
        <f t="shared" si="0"/>
        <v>p1</v>
      </c>
      <c r="L24" t="s">
        <v>39</v>
      </c>
      <c r="M24" s="1">
        <v>43601</v>
      </c>
      <c r="N24" s="1">
        <v>43613</v>
      </c>
      <c r="O24" s="1">
        <v>43630</v>
      </c>
      <c r="P24" s="1">
        <v>43632</v>
      </c>
      <c r="Q24" t="s">
        <v>23</v>
      </c>
      <c r="R24" t="s">
        <v>23</v>
      </c>
    </row>
    <row r="25" spans="1:18" x14ac:dyDescent="0.45">
      <c r="A25">
        <v>6199</v>
      </c>
      <c r="B25" t="s">
        <v>17</v>
      </c>
      <c r="C25" t="s">
        <v>85</v>
      </c>
      <c r="D25" t="s">
        <v>85</v>
      </c>
      <c r="E25" s="1">
        <v>43873</v>
      </c>
      <c r="F25" s="1">
        <v>44022</v>
      </c>
      <c r="G25" t="s">
        <v>19</v>
      </c>
      <c r="H25" t="s">
        <v>86</v>
      </c>
      <c r="I25" t="s">
        <v>87</v>
      </c>
      <c r="J25" t="s">
        <v>25</v>
      </c>
      <c r="K25" t="str">
        <f t="shared" si="0"/>
        <v>p1</v>
      </c>
      <c r="L25" s="1">
        <v>43924</v>
      </c>
      <c r="M25" s="1">
        <v>43936</v>
      </c>
      <c r="N25" s="1">
        <v>43948</v>
      </c>
      <c r="O25" s="1">
        <v>43962</v>
      </c>
      <c r="P25" s="1">
        <v>43994</v>
      </c>
      <c r="Q25" t="s">
        <v>23</v>
      </c>
      <c r="R25" t="s">
        <v>23</v>
      </c>
    </row>
    <row r="26" spans="1:18" x14ac:dyDescent="0.45">
      <c r="A26">
        <v>6199</v>
      </c>
      <c r="B26" t="s">
        <v>17</v>
      </c>
      <c r="C26" t="s">
        <v>85</v>
      </c>
      <c r="D26" t="s">
        <v>85</v>
      </c>
      <c r="E26" s="1">
        <v>43873</v>
      </c>
      <c r="F26" s="1">
        <v>44022</v>
      </c>
      <c r="G26" t="s">
        <v>19</v>
      </c>
      <c r="H26" t="s">
        <v>86</v>
      </c>
      <c r="I26" t="s">
        <v>88</v>
      </c>
      <c r="J26" t="s">
        <v>25</v>
      </c>
      <c r="K26" t="str">
        <f t="shared" si="0"/>
        <v>p2</v>
      </c>
      <c r="L26" s="1">
        <v>43964</v>
      </c>
      <c r="M26" s="1">
        <v>43973</v>
      </c>
      <c r="N26" s="1">
        <v>43985</v>
      </c>
      <c r="O26" s="1">
        <v>44003</v>
      </c>
      <c r="P26" s="1">
        <v>44015</v>
      </c>
      <c r="Q26" t="s">
        <v>23</v>
      </c>
      <c r="R26" t="s">
        <v>23</v>
      </c>
    </row>
    <row r="27" spans="1:18" x14ac:dyDescent="0.45">
      <c r="A27">
        <v>6404</v>
      </c>
      <c r="B27" t="s">
        <v>44</v>
      </c>
      <c r="C27" t="s">
        <v>89</v>
      </c>
      <c r="D27" t="s">
        <v>89</v>
      </c>
      <c r="E27" s="1">
        <v>43949</v>
      </c>
      <c r="F27" s="1">
        <v>44006</v>
      </c>
      <c r="G27" t="s">
        <v>28</v>
      </c>
      <c r="I27" t="s">
        <v>90</v>
      </c>
      <c r="J27" t="s">
        <v>64</v>
      </c>
      <c r="K27" t="str">
        <f t="shared" si="0"/>
        <v>p1</v>
      </c>
      <c r="L27" s="1">
        <v>43950</v>
      </c>
      <c r="M27" s="1">
        <v>43958</v>
      </c>
      <c r="N27" s="1">
        <v>43970</v>
      </c>
      <c r="O27" s="1">
        <v>43981</v>
      </c>
      <c r="P27" s="1">
        <v>43993</v>
      </c>
      <c r="Q27" t="s">
        <v>23</v>
      </c>
      <c r="R27" t="s">
        <v>23</v>
      </c>
    </row>
    <row r="28" spans="1:18" x14ac:dyDescent="0.45">
      <c r="A28">
        <v>7650</v>
      </c>
      <c r="B28" t="s">
        <v>36</v>
      </c>
      <c r="C28" t="s">
        <v>91</v>
      </c>
      <c r="D28" t="s">
        <v>91</v>
      </c>
      <c r="E28" s="1">
        <v>43940</v>
      </c>
      <c r="F28" s="1">
        <v>44048</v>
      </c>
      <c r="G28" t="s">
        <v>32</v>
      </c>
      <c r="I28" t="s">
        <v>92</v>
      </c>
      <c r="J28" t="s">
        <v>32</v>
      </c>
      <c r="K28" t="str">
        <f t="shared" si="0"/>
        <v>p1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</row>
    <row r="29" spans="1:18" x14ac:dyDescent="0.45">
      <c r="A29">
        <v>7657</v>
      </c>
      <c r="B29" t="s">
        <v>93</v>
      </c>
      <c r="C29" t="s">
        <v>94</v>
      </c>
      <c r="D29" t="s">
        <v>94</v>
      </c>
      <c r="E29" s="1">
        <v>43969</v>
      </c>
      <c r="F29" s="1">
        <v>44022</v>
      </c>
      <c r="G29" t="s">
        <v>28</v>
      </c>
      <c r="I29" t="s">
        <v>95</v>
      </c>
      <c r="J29" t="s">
        <v>25</v>
      </c>
      <c r="K29" t="str">
        <f t="shared" si="0"/>
        <v>p1</v>
      </c>
      <c r="L29" t="s">
        <v>39</v>
      </c>
      <c r="M29" s="1">
        <v>43976</v>
      </c>
      <c r="N29" s="1">
        <v>43988</v>
      </c>
      <c r="O29" s="1">
        <v>44000</v>
      </c>
      <c r="P29" s="1">
        <v>44017</v>
      </c>
      <c r="Q29" t="s">
        <v>23</v>
      </c>
      <c r="R29" t="s">
        <v>23</v>
      </c>
    </row>
    <row r="30" spans="1:18" x14ac:dyDescent="0.45">
      <c r="A30">
        <v>11100</v>
      </c>
      <c r="B30" t="s">
        <v>96</v>
      </c>
      <c r="C30" t="s">
        <v>97</v>
      </c>
      <c r="D30" t="s">
        <v>97</v>
      </c>
      <c r="E30" s="1">
        <v>44261</v>
      </c>
      <c r="F30" s="1">
        <v>44322</v>
      </c>
      <c r="G30" t="s">
        <v>42</v>
      </c>
      <c r="I30" t="s">
        <v>98</v>
      </c>
      <c r="J30" t="s">
        <v>42</v>
      </c>
      <c r="K30" t="str">
        <f t="shared" si="0"/>
        <v>p1</v>
      </c>
      <c r="L30" s="1">
        <v>44291</v>
      </c>
      <c r="M30" s="1">
        <v>44302</v>
      </c>
      <c r="N30" s="1">
        <v>44314</v>
      </c>
      <c r="O30" t="s">
        <v>51</v>
      </c>
      <c r="P30" t="s">
        <v>51</v>
      </c>
      <c r="Q30" t="s">
        <v>23</v>
      </c>
      <c r="R30" t="s">
        <v>23</v>
      </c>
    </row>
    <row r="31" spans="1:18" x14ac:dyDescent="0.45">
      <c r="A31">
        <v>11101</v>
      </c>
      <c r="B31" t="s">
        <v>17</v>
      </c>
      <c r="C31" t="s">
        <v>99</v>
      </c>
      <c r="D31" t="s">
        <v>99</v>
      </c>
      <c r="E31" s="1">
        <v>44229</v>
      </c>
      <c r="F31" s="1">
        <v>44324</v>
      </c>
      <c r="G31" t="s">
        <v>42</v>
      </c>
      <c r="I31" t="s">
        <v>100</v>
      </c>
      <c r="J31" t="s">
        <v>42</v>
      </c>
      <c r="K31" t="str">
        <f t="shared" si="0"/>
        <v>p1</v>
      </c>
      <c r="L31" s="1">
        <v>44286</v>
      </c>
      <c r="M31" s="1">
        <v>44298</v>
      </c>
      <c r="N31" s="1">
        <v>44310</v>
      </c>
      <c r="O31" t="s">
        <v>51</v>
      </c>
      <c r="P31" t="s">
        <v>51</v>
      </c>
      <c r="Q31" t="s">
        <v>23</v>
      </c>
      <c r="R31" t="s">
        <v>23</v>
      </c>
    </row>
    <row r="32" spans="1:18" x14ac:dyDescent="0.45">
      <c r="A32">
        <v>18572</v>
      </c>
      <c r="B32" t="s">
        <v>101</v>
      </c>
      <c r="C32" t="s">
        <v>102</v>
      </c>
      <c r="D32" t="s">
        <v>103</v>
      </c>
      <c r="E32" s="1">
        <v>43915</v>
      </c>
      <c r="F32" s="1">
        <v>44030</v>
      </c>
      <c r="G32" t="s">
        <v>28</v>
      </c>
      <c r="I32" t="s">
        <v>104</v>
      </c>
      <c r="J32" t="s">
        <v>25</v>
      </c>
      <c r="K32" t="str">
        <f t="shared" si="0"/>
        <v>p1</v>
      </c>
      <c r="L32" t="s">
        <v>23</v>
      </c>
      <c r="M32" s="1">
        <v>43943</v>
      </c>
      <c r="N32" s="1">
        <v>43955</v>
      </c>
      <c r="O32" s="1">
        <v>43963</v>
      </c>
      <c r="P32" s="1">
        <v>43996</v>
      </c>
      <c r="Q32" t="s">
        <v>23</v>
      </c>
      <c r="R32" t="s">
        <v>23</v>
      </c>
    </row>
    <row r="33" spans="1:18" x14ac:dyDescent="0.45">
      <c r="A33">
        <v>21537</v>
      </c>
      <c r="B33" t="s">
        <v>93</v>
      </c>
      <c r="C33" t="s">
        <v>105</v>
      </c>
      <c r="D33" t="s">
        <v>105</v>
      </c>
      <c r="E33" s="1">
        <v>44330</v>
      </c>
      <c r="F33" s="1">
        <v>44351</v>
      </c>
      <c r="G33" t="s">
        <v>42</v>
      </c>
      <c r="I33" t="s">
        <v>106</v>
      </c>
      <c r="J33" t="s">
        <v>42</v>
      </c>
      <c r="K33" t="str">
        <f t="shared" si="0"/>
        <v>p1</v>
      </c>
      <c r="L33" t="s">
        <v>39</v>
      </c>
      <c r="M33" s="1">
        <v>44330</v>
      </c>
      <c r="N33" s="1">
        <v>44342</v>
      </c>
      <c r="O33" t="s">
        <v>51</v>
      </c>
      <c r="P33" t="s">
        <v>51</v>
      </c>
      <c r="Q33" t="s">
        <v>23</v>
      </c>
      <c r="R33" t="s">
        <v>23</v>
      </c>
    </row>
    <row r="34" spans="1:18" x14ac:dyDescent="0.45">
      <c r="A34">
        <v>21668</v>
      </c>
      <c r="B34" t="s">
        <v>93</v>
      </c>
      <c r="C34" t="s">
        <v>107</v>
      </c>
      <c r="D34" t="s">
        <v>107</v>
      </c>
      <c r="E34" s="1">
        <v>44320</v>
      </c>
      <c r="F34" s="1">
        <v>44361</v>
      </c>
      <c r="G34" t="s">
        <v>58</v>
      </c>
      <c r="I34" t="s">
        <v>108</v>
      </c>
      <c r="J34" t="s">
        <v>25</v>
      </c>
      <c r="K34" t="str">
        <f t="shared" si="0"/>
        <v>p1</v>
      </c>
      <c r="L34" t="s">
        <v>39</v>
      </c>
      <c r="M34" s="1">
        <v>44316</v>
      </c>
      <c r="N34" s="1">
        <v>44328</v>
      </c>
      <c r="O34" s="1">
        <v>44340</v>
      </c>
      <c r="P34" s="1">
        <v>44359</v>
      </c>
      <c r="Q34" t="s">
        <v>23</v>
      </c>
      <c r="R34" t="s">
        <v>23</v>
      </c>
    </row>
    <row r="35" spans="1:18" x14ac:dyDescent="0.45">
      <c r="A35">
        <v>21668</v>
      </c>
      <c r="B35" t="s">
        <v>93</v>
      </c>
      <c r="C35" t="s">
        <v>107</v>
      </c>
      <c r="D35" t="s">
        <v>107</v>
      </c>
      <c r="E35" s="1">
        <v>44320</v>
      </c>
      <c r="F35" s="1">
        <v>44361</v>
      </c>
      <c r="G35" t="s">
        <v>58</v>
      </c>
      <c r="I35" t="s">
        <v>109</v>
      </c>
      <c r="J35" t="s">
        <v>42</v>
      </c>
      <c r="K35" t="str">
        <f t="shared" si="0"/>
        <v>p2</v>
      </c>
      <c r="L35" s="1">
        <v>44339</v>
      </c>
      <c r="M35" s="1">
        <v>44347</v>
      </c>
      <c r="N35" s="1">
        <v>44359</v>
      </c>
      <c r="O35" t="s">
        <v>51</v>
      </c>
      <c r="P35" t="s">
        <v>51</v>
      </c>
      <c r="Q35" t="s">
        <v>23</v>
      </c>
      <c r="R35" t="s">
        <v>23</v>
      </c>
    </row>
    <row r="36" spans="1:18" x14ac:dyDescent="0.45">
      <c r="A36">
        <v>21681</v>
      </c>
      <c r="B36" t="s">
        <v>17</v>
      </c>
      <c r="C36" t="s">
        <v>110</v>
      </c>
      <c r="D36" t="s">
        <v>111</v>
      </c>
      <c r="E36" s="1">
        <v>44229</v>
      </c>
      <c r="F36" s="1">
        <v>44328</v>
      </c>
      <c r="G36" t="s">
        <v>32</v>
      </c>
      <c r="I36" t="s">
        <v>112</v>
      </c>
      <c r="J36" t="s">
        <v>32</v>
      </c>
      <c r="K36" t="str">
        <f t="shared" si="0"/>
        <v>p1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</row>
    <row r="37" spans="1:18" x14ac:dyDescent="0.45">
      <c r="A37">
        <v>21688</v>
      </c>
      <c r="B37" t="s">
        <v>93</v>
      </c>
      <c r="C37" t="s">
        <v>113</v>
      </c>
      <c r="D37" t="s">
        <v>113</v>
      </c>
      <c r="E37" s="1">
        <v>44320</v>
      </c>
      <c r="F37" s="1">
        <v>44361</v>
      </c>
      <c r="G37" t="s">
        <v>28</v>
      </c>
      <c r="I37" t="s">
        <v>114</v>
      </c>
      <c r="J37" t="s">
        <v>25</v>
      </c>
      <c r="K37" t="str">
        <f t="shared" si="0"/>
        <v>p1</v>
      </c>
      <c r="L37" t="s">
        <v>39</v>
      </c>
      <c r="M37" s="1">
        <v>44318</v>
      </c>
      <c r="N37" s="1">
        <v>44330</v>
      </c>
      <c r="O37" s="1">
        <v>44344</v>
      </c>
      <c r="P37" s="1">
        <v>44350</v>
      </c>
      <c r="Q37" t="s">
        <v>23</v>
      </c>
      <c r="R37" t="s">
        <v>23</v>
      </c>
    </row>
    <row r="38" spans="1:18" x14ac:dyDescent="0.45">
      <c r="A38">
        <v>24119</v>
      </c>
      <c r="B38" t="s">
        <v>115</v>
      </c>
      <c r="C38" t="s">
        <v>116</v>
      </c>
      <c r="D38" t="s">
        <v>116</v>
      </c>
      <c r="E38" s="1">
        <v>44274</v>
      </c>
      <c r="F38" s="1">
        <v>44352</v>
      </c>
      <c r="G38" t="s">
        <v>28</v>
      </c>
      <c r="I38" t="s">
        <v>117</v>
      </c>
      <c r="J38" t="s">
        <v>25</v>
      </c>
      <c r="K38" t="str">
        <f t="shared" si="0"/>
        <v>p1</v>
      </c>
      <c r="L38" t="s">
        <v>39</v>
      </c>
      <c r="M38" s="1">
        <v>44313</v>
      </c>
      <c r="N38" s="1">
        <v>44325</v>
      </c>
      <c r="O38" s="1">
        <v>44334</v>
      </c>
      <c r="P38" s="1">
        <v>44343</v>
      </c>
      <c r="Q38" t="s">
        <v>23</v>
      </c>
      <c r="R38" t="s">
        <v>23</v>
      </c>
    </row>
    <row r="39" spans="1:18" x14ac:dyDescent="0.45">
      <c r="A39">
        <v>24122</v>
      </c>
      <c r="B39" t="s">
        <v>118</v>
      </c>
      <c r="C39" t="s">
        <v>119</v>
      </c>
      <c r="D39" t="s">
        <v>119</v>
      </c>
      <c r="E39" s="1">
        <v>44315</v>
      </c>
      <c r="F39" s="1">
        <v>44389</v>
      </c>
      <c r="G39" t="s">
        <v>32</v>
      </c>
      <c r="I39" t="s">
        <v>120</v>
      </c>
      <c r="J39" t="s">
        <v>32</v>
      </c>
      <c r="K39" t="str">
        <f t="shared" si="0"/>
        <v>p1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</row>
    <row r="40" spans="1:18" x14ac:dyDescent="0.45">
      <c r="A40">
        <v>24130</v>
      </c>
      <c r="B40" t="s">
        <v>78</v>
      </c>
      <c r="C40" t="s">
        <v>121</v>
      </c>
      <c r="D40" t="s">
        <v>122</v>
      </c>
      <c r="E40" s="1">
        <v>44307</v>
      </c>
      <c r="F40" s="1">
        <v>44373</v>
      </c>
      <c r="G40" t="s">
        <v>28</v>
      </c>
      <c r="I40" t="s">
        <v>123</v>
      </c>
      <c r="J40" t="s">
        <v>25</v>
      </c>
      <c r="K40" t="str">
        <f t="shared" si="0"/>
        <v>p1</v>
      </c>
      <c r="L40" s="1">
        <v>44327</v>
      </c>
      <c r="M40" s="1">
        <v>44339</v>
      </c>
      <c r="N40" s="1">
        <v>44351</v>
      </c>
      <c r="O40" t="s">
        <v>23</v>
      </c>
      <c r="P40" s="1">
        <v>44365</v>
      </c>
      <c r="Q40" t="s">
        <v>23</v>
      </c>
      <c r="R40" t="s">
        <v>23</v>
      </c>
    </row>
    <row r="41" spans="1:18" x14ac:dyDescent="0.45">
      <c r="A41">
        <v>24221</v>
      </c>
      <c r="B41" t="s">
        <v>78</v>
      </c>
      <c r="C41" t="s">
        <v>124</v>
      </c>
      <c r="D41" t="s">
        <v>125</v>
      </c>
      <c r="E41" s="1">
        <v>44307</v>
      </c>
      <c r="F41" s="1">
        <v>44368</v>
      </c>
      <c r="G41" t="s">
        <v>42</v>
      </c>
      <c r="I41" t="s">
        <v>126</v>
      </c>
      <c r="J41" t="s">
        <v>42</v>
      </c>
      <c r="K41" t="str">
        <f t="shared" si="0"/>
        <v>p1</v>
      </c>
      <c r="L41" s="1">
        <v>44334</v>
      </c>
      <c r="M41" s="1">
        <v>44350</v>
      </c>
      <c r="N41" s="1">
        <v>44362</v>
      </c>
      <c r="O41" t="s">
        <v>51</v>
      </c>
      <c r="P41" t="s">
        <v>51</v>
      </c>
      <c r="Q41" t="s">
        <v>23</v>
      </c>
      <c r="R41" t="s">
        <v>23</v>
      </c>
    </row>
    <row r="42" spans="1:18" x14ac:dyDescent="0.45">
      <c r="A42">
        <v>24231</v>
      </c>
      <c r="B42" t="s">
        <v>40</v>
      </c>
      <c r="C42" t="s">
        <v>127</v>
      </c>
      <c r="D42" t="s">
        <v>128</v>
      </c>
      <c r="E42" s="1">
        <v>44305</v>
      </c>
      <c r="F42" s="1">
        <v>44360</v>
      </c>
      <c r="G42" t="s">
        <v>28</v>
      </c>
      <c r="I42" t="s">
        <v>129</v>
      </c>
      <c r="J42" t="s">
        <v>25</v>
      </c>
      <c r="K42" t="str">
        <f t="shared" si="0"/>
        <v>p1</v>
      </c>
      <c r="L42" t="s">
        <v>39</v>
      </c>
      <c r="M42" s="1">
        <v>44306</v>
      </c>
      <c r="N42" s="1">
        <v>44318</v>
      </c>
      <c r="O42" s="1">
        <v>44328</v>
      </c>
      <c r="P42" s="1">
        <v>44330</v>
      </c>
      <c r="Q42" t="s">
        <v>23</v>
      </c>
      <c r="R42" t="s">
        <v>23</v>
      </c>
    </row>
    <row r="43" spans="1:18" x14ac:dyDescent="0.45">
      <c r="A43">
        <v>24232</v>
      </c>
      <c r="B43" t="s">
        <v>118</v>
      </c>
      <c r="C43" t="s">
        <v>130</v>
      </c>
      <c r="D43" t="s">
        <v>131</v>
      </c>
      <c r="E43" s="1">
        <v>44287</v>
      </c>
      <c r="F43" s="1">
        <v>44391</v>
      </c>
      <c r="G43" t="s">
        <v>28</v>
      </c>
      <c r="I43" t="s">
        <v>132</v>
      </c>
      <c r="J43" t="s">
        <v>25</v>
      </c>
      <c r="K43" t="str">
        <f t="shared" si="0"/>
        <v>p1</v>
      </c>
      <c r="L43" s="1">
        <v>44293</v>
      </c>
      <c r="M43" s="1">
        <v>44304</v>
      </c>
      <c r="N43" s="1">
        <v>44316</v>
      </c>
      <c r="O43" s="1">
        <v>44334</v>
      </c>
      <c r="P43" s="1">
        <v>44338</v>
      </c>
      <c r="Q43" t="s">
        <v>23</v>
      </c>
      <c r="R43" t="s">
        <v>23</v>
      </c>
    </row>
    <row r="44" spans="1:18" x14ac:dyDescent="0.45">
      <c r="A44">
        <v>24233</v>
      </c>
      <c r="B44" t="s">
        <v>118</v>
      </c>
      <c r="C44" t="s">
        <v>133</v>
      </c>
      <c r="D44" t="s">
        <v>134</v>
      </c>
      <c r="E44" s="1">
        <v>44287</v>
      </c>
      <c r="F44" s="1">
        <v>44391</v>
      </c>
      <c r="G44" t="s">
        <v>28</v>
      </c>
      <c r="I44" t="s">
        <v>135</v>
      </c>
      <c r="J44" t="s">
        <v>64</v>
      </c>
      <c r="K44" t="str">
        <f t="shared" si="0"/>
        <v>p1</v>
      </c>
      <c r="L44" s="1">
        <v>44293</v>
      </c>
      <c r="M44" s="1">
        <v>44306</v>
      </c>
      <c r="N44" s="1">
        <v>44318</v>
      </c>
      <c r="O44" s="1">
        <v>44339</v>
      </c>
      <c r="P44" s="1">
        <v>44340</v>
      </c>
      <c r="Q44" t="s">
        <v>23</v>
      </c>
      <c r="R44" s="1">
        <v>44316</v>
      </c>
    </row>
    <row r="45" spans="1:18" x14ac:dyDescent="0.45">
      <c r="A45">
        <v>24252</v>
      </c>
      <c r="B45" t="s">
        <v>40</v>
      </c>
      <c r="C45" t="s">
        <v>136</v>
      </c>
      <c r="D45" t="s">
        <v>136</v>
      </c>
      <c r="E45" s="1">
        <v>44305</v>
      </c>
      <c r="F45" s="1">
        <v>44381</v>
      </c>
      <c r="G45" t="s">
        <v>137</v>
      </c>
      <c r="I45" t="s">
        <v>138</v>
      </c>
      <c r="J45" t="s">
        <v>25</v>
      </c>
      <c r="K45" t="str">
        <f t="shared" si="0"/>
        <v>p1</v>
      </c>
      <c r="L45" t="s">
        <v>39</v>
      </c>
      <c r="M45" s="1">
        <v>44305</v>
      </c>
      <c r="N45" s="1">
        <v>44317</v>
      </c>
      <c r="O45" s="1">
        <v>44331</v>
      </c>
      <c r="P45" s="1">
        <v>44340</v>
      </c>
      <c r="Q45" t="s">
        <v>23</v>
      </c>
      <c r="R45" t="s">
        <v>23</v>
      </c>
    </row>
    <row r="46" spans="1:18" x14ac:dyDescent="0.45">
      <c r="A46">
        <v>24252</v>
      </c>
      <c r="B46" t="s">
        <v>40</v>
      </c>
      <c r="C46" t="s">
        <v>136</v>
      </c>
      <c r="D46" t="s">
        <v>136</v>
      </c>
      <c r="E46" s="1">
        <v>44305</v>
      </c>
      <c r="F46" s="1">
        <v>44381</v>
      </c>
      <c r="G46" t="s">
        <v>137</v>
      </c>
      <c r="I46" t="s">
        <v>139</v>
      </c>
      <c r="J46" t="s">
        <v>25</v>
      </c>
      <c r="K46" t="str">
        <f t="shared" si="0"/>
        <v>p2</v>
      </c>
      <c r="L46" s="1">
        <v>44320</v>
      </c>
      <c r="M46" s="1">
        <v>44328</v>
      </c>
      <c r="N46" s="1">
        <v>44340</v>
      </c>
      <c r="O46" s="1">
        <v>44350</v>
      </c>
      <c r="P46" s="1">
        <v>44364</v>
      </c>
      <c r="Q46" t="s">
        <v>23</v>
      </c>
      <c r="R46" t="s">
        <v>23</v>
      </c>
    </row>
    <row r="47" spans="1:18" x14ac:dyDescent="0.45">
      <c r="A47">
        <v>24263</v>
      </c>
      <c r="B47" t="s">
        <v>118</v>
      </c>
      <c r="C47" t="s">
        <v>140</v>
      </c>
      <c r="D47" t="s">
        <v>140</v>
      </c>
      <c r="E47" s="1">
        <v>44357</v>
      </c>
      <c r="F47" s="1">
        <v>44423</v>
      </c>
      <c r="G47" t="s">
        <v>28</v>
      </c>
      <c r="I47" t="s">
        <v>141</v>
      </c>
      <c r="J47" t="s">
        <v>25</v>
      </c>
      <c r="K47" t="str">
        <f t="shared" si="0"/>
        <v>p1</v>
      </c>
      <c r="L47" t="s">
        <v>39</v>
      </c>
      <c r="M47" t="s">
        <v>39</v>
      </c>
      <c r="N47" t="s">
        <v>39</v>
      </c>
      <c r="O47" s="1">
        <v>44371</v>
      </c>
      <c r="P47" s="1">
        <v>44385</v>
      </c>
      <c r="Q47" t="s">
        <v>23</v>
      </c>
      <c r="R47" t="s">
        <v>23</v>
      </c>
    </row>
    <row r="48" spans="1:18" x14ac:dyDescent="0.45">
      <c r="A48">
        <v>24544</v>
      </c>
      <c r="B48" t="s">
        <v>142</v>
      </c>
      <c r="C48" t="s">
        <v>143</v>
      </c>
      <c r="D48" t="s">
        <v>143</v>
      </c>
      <c r="E48" s="1">
        <v>44292</v>
      </c>
      <c r="F48" s="1">
        <v>44407</v>
      </c>
      <c r="G48" t="s">
        <v>32</v>
      </c>
      <c r="I48" t="s">
        <v>144</v>
      </c>
      <c r="J48" t="s">
        <v>32</v>
      </c>
      <c r="K48" t="str">
        <f t="shared" si="0"/>
        <v>p1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</row>
    <row r="49" spans="1:18" x14ac:dyDescent="0.45">
      <c r="A49">
        <v>24549</v>
      </c>
      <c r="B49" t="s">
        <v>17</v>
      </c>
      <c r="C49" t="s">
        <v>145</v>
      </c>
      <c r="D49" t="s">
        <v>145</v>
      </c>
      <c r="E49" s="1">
        <v>44229</v>
      </c>
      <c r="F49" s="1">
        <v>44329</v>
      </c>
      <c r="G49" t="s">
        <v>32</v>
      </c>
      <c r="I49" t="s">
        <v>146</v>
      </c>
      <c r="J49" t="s">
        <v>32</v>
      </c>
      <c r="K49" t="str">
        <f t="shared" si="0"/>
        <v>p1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</row>
    <row r="50" spans="1:18" x14ac:dyDescent="0.45">
      <c r="A50">
        <v>24606</v>
      </c>
      <c r="B50" t="s">
        <v>142</v>
      </c>
      <c r="C50" t="s">
        <v>147</v>
      </c>
      <c r="D50" t="s">
        <v>147</v>
      </c>
      <c r="E50" s="1">
        <v>44295</v>
      </c>
      <c r="F50" s="1">
        <v>44413</v>
      </c>
      <c r="G50" t="s">
        <v>28</v>
      </c>
      <c r="I50" t="s">
        <v>148</v>
      </c>
      <c r="J50" t="s">
        <v>25</v>
      </c>
      <c r="K50" t="str">
        <f t="shared" si="0"/>
        <v>p1</v>
      </c>
      <c r="L50" s="1">
        <v>44315</v>
      </c>
      <c r="M50" s="1">
        <v>44335</v>
      </c>
      <c r="N50" s="1">
        <v>44347</v>
      </c>
      <c r="O50" t="s">
        <v>23</v>
      </c>
      <c r="P50" s="1">
        <v>44370</v>
      </c>
      <c r="Q50" t="s">
        <v>23</v>
      </c>
      <c r="R50" t="s">
        <v>23</v>
      </c>
    </row>
    <row r="51" spans="1:18" x14ac:dyDescent="0.45">
      <c r="A51">
        <v>24641</v>
      </c>
      <c r="B51" t="s">
        <v>142</v>
      </c>
      <c r="C51" t="s">
        <v>149</v>
      </c>
      <c r="D51" t="s">
        <v>149</v>
      </c>
      <c r="E51" s="1">
        <v>44292</v>
      </c>
      <c r="F51" s="1">
        <v>44413</v>
      </c>
      <c r="G51" t="s">
        <v>32</v>
      </c>
      <c r="I51" t="s">
        <v>150</v>
      </c>
      <c r="J51" t="s">
        <v>32</v>
      </c>
      <c r="K51" t="str">
        <f t="shared" si="0"/>
        <v>p1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</row>
    <row r="52" spans="1:18" x14ac:dyDescent="0.45">
      <c r="A52">
        <v>24652</v>
      </c>
      <c r="B52" t="s">
        <v>93</v>
      </c>
      <c r="C52" t="s">
        <v>151</v>
      </c>
      <c r="D52" t="s">
        <v>151</v>
      </c>
      <c r="E52" s="1">
        <v>44336</v>
      </c>
      <c r="F52" s="1">
        <v>44382</v>
      </c>
      <c r="G52" t="s">
        <v>28</v>
      </c>
      <c r="I52" t="s">
        <v>152</v>
      </c>
      <c r="J52" t="s">
        <v>25</v>
      </c>
      <c r="K52" t="str">
        <f t="shared" si="0"/>
        <v>p1</v>
      </c>
      <c r="L52" s="1">
        <v>44337</v>
      </c>
      <c r="M52" s="1">
        <v>44345</v>
      </c>
      <c r="N52" s="1">
        <v>44357</v>
      </c>
      <c r="O52" s="1">
        <v>44370</v>
      </c>
      <c r="P52" s="1">
        <v>44376</v>
      </c>
      <c r="Q52" t="s">
        <v>23</v>
      </c>
      <c r="R52" t="s">
        <v>23</v>
      </c>
    </row>
    <row r="53" spans="1:18" x14ac:dyDescent="0.45">
      <c r="A53">
        <v>24653</v>
      </c>
      <c r="B53" t="s">
        <v>93</v>
      </c>
      <c r="C53" t="s">
        <v>153</v>
      </c>
      <c r="D53" t="s">
        <v>153</v>
      </c>
      <c r="E53" s="1">
        <v>44320</v>
      </c>
      <c r="F53" s="1">
        <v>44336</v>
      </c>
      <c r="G53" t="s">
        <v>42</v>
      </c>
      <c r="I53" t="s">
        <v>154</v>
      </c>
      <c r="J53" t="s">
        <v>42</v>
      </c>
      <c r="K53" t="str">
        <f t="shared" si="0"/>
        <v>p1</v>
      </c>
      <c r="L53" t="s">
        <v>39</v>
      </c>
      <c r="M53" s="1">
        <v>44322</v>
      </c>
      <c r="N53" s="1">
        <v>44334</v>
      </c>
      <c r="O53" t="s">
        <v>51</v>
      </c>
      <c r="P53" t="s">
        <v>51</v>
      </c>
      <c r="Q53" t="s">
        <v>23</v>
      </c>
      <c r="R53" t="s">
        <v>23</v>
      </c>
    </row>
    <row r="54" spans="1:18" x14ac:dyDescent="0.45">
      <c r="A54">
        <v>24655</v>
      </c>
      <c r="B54" t="s">
        <v>142</v>
      </c>
      <c r="C54" t="s">
        <v>155</v>
      </c>
      <c r="D54" t="s">
        <v>155</v>
      </c>
      <c r="E54" s="1">
        <v>44305</v>
      </c>
      <c r="F54" s="1">
        <v>44418</v>
      </c>
      <c r="G54" t="s">
        <v>28</v>
      </c>
      <c r="I54" t="s">
        <v>156</v>
      </c>
      <c r="J54" t="s">
        <v>64</v>
      </c>
      <c r="K54" t="str">
        <f t="shared" si="0"/>
        <v>p1</v>
      </c>
      <c r="L54" s="1">
        <v>44313</v>
      </c>
      <c r="M54" s="1">
        <v>44312</v>
      </c>
      <c r="N54" s="1">
        <v>44324</v>
      </c>
      <c r="O54" s="1">
        <v>44343</v>
      </c>
      <c r="P54" s="1">
        <v>44358</v>
      </c>
      <c r="Q54" t="s">
        <v>23</v>
      </c>
      <c r="R54" s="1">
        <v>44323</v>
      </c>
    </row>
    <row r="55" spans="1:18" x14ac:dyDescent="0.45">
      <c r="A55">
        <v>24658</v>
      </c>
      <c r="B55" t="s">
        <v>36</v>
      </c>
      <c r="C55" t="s">
        <v>157</v>
      </c>
      <c r="D55" t="s">
        <v>157</v>
      </c>
      <c r="E55" s="1">
        <v>44229</v>
      </c>
      <c r="F55" s="1">
        <v>44330</v>
      </c>
      <c r="G55" t="s">
        <v>42</v>
      </c>
      <c r="I55" t="s">
        <v>158</v>
      </c>
      <c r="J55" t="s">
        <v>22</v>
      </c>
      <c r="K55" t="str">
        <f t="shared" si="0"/>
        <v>p1</v>
      </c>
      <c r="L55" s="1">
        <v>44289</v>
      </c>
      <c r="M55" t="s">
        <v>23</v>
      </c>
      <c r="N55" t="s">
        <v>23</v>
      </c>
      <c r="O55" t="s">
        <v>23</v>
      </c>
      <c r="P55" t="s">
        <v>23</v>
      </c>
      <c r="Q55" s="1">
        <v>44308</v>
      </c>
      <c r="R55" t="s">
        <v>23</v>
      </c>
    </row>
    <row r="56" spans="1:18" x14ac:dyDescent="0.45">
      <c r="A56">
        <v>24790</v>
      </c>
      <c r="B56" t="s">
        <v>159</v>
      </c>
      <c r="C56" t="s">
        <v>160</v>
      </c>
      <c r="D56" t="s">
        <v>160</v>
      </c>
      <c r="E56" s="1">
        <v>44300</v>
      </c>
      <c r="F56" s="1">
        <v>44397</v>
      </c>
      <c r="G56" t="s">
        <v>28</v>
      </c>
      <c r="I56" t="s">
        <v>161</v>
      </c>
      <c r="J56" t="s">
        <v>25</v>
      </c>
      <c r="K56" t="str">
        <f t="shared" si="0"/>
        <v>p1</v>
      </c>
      <c r="L56" s="1">
        <v>44309</v>
      </c>
      <c r="M56" s="1">
        <v>44318</v>
      </c>
      <c r="N56" s="1">
        <v>44330</v>
      </c>
      <c r="O56" s="1">
        <v>44344</v>
      </c>
      <c r="P56" s="1">
        <v>44353</v>
      </c>
      <c r="Q56" t="s">
        <v>23</v>
      </c>
      <c r="R56" t="s">
        <v>23</v>
      </c>
    </row>
    <row r="57" spans="1:18" x14ac:dyDescent="0.45">
      <c r="A57">
        <v>25171</v>
      </c>
      <c r="B57" t="s">
        <v>52</v>
      </c>
      <c r="C57" t="s">
        <v>162</v>
      </c>
      <c r="D57" t="s">
        <v>163</v>
      </c>
      <c r="E57" s="1">
        <v>44349</v>
      </c>
      <c r="F57" s="1">
        <v>44377</v>
      </c>
      <c r="G57" t="s">
        <v>42</v>
      </c>
      <c r="I57" t="s">
        <v>164</v>
      </c>
      <c r="J57" t="s">
        <v>22</v>
      </c>
      <c r="K57" t="str">
        <f t="shared" si="0"/>
        <v>p1</v>
      </c>
      <c r="L57" t="s">
        <v>39</v>
      </c>
      <c r="M57" s="1">
        <v>44350</v>
      </c>
      <c r="N57" s="1">
        <v>44362</v>
      </c>
      <c r="O57" t="s">
        <v>23</v>
      </c>
      <c r="P57" t="s">
        <v>23</v>
      </c>
      <c r="Q57" s="1">
        <v>44370</v>
      </c>
      <c r="R57" t="s">
        <v>23</v>
      </c>
    </row>
    <row r="58" spans="1:18" x14ac:dyDescent="0.45">
      <c r="A58">
        <v>26432</v>
      </c>
      <c r="B58" t="s">
        <v>44</v>
      </c>
      <c r="C58" t="s">
        <v>165</v>
      </c>
      <c r="D58" t="s">
        <v>165</v>
      </c>
      <c r="E58" s="1">
        <v>44316</v>
      </c>
      <c r="F58" s="1">
        <v>44370</v>
      </c>
      <c r="G58" t="s">
        <v>166</v>
      </c>
      <c r="I58" t="s">
        <v>167</v>
      </c>
      <c r="J58" t="s">
        <v>166</v>
      </c>
      <c r="K58" t="str">
        <f t="shared" si="0"/>
        <v>p1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</row>
    <row r="59" spans="1:18" x14ac:dyDescent="0.45">
      <c r="A59">
        <v>26534</v>
      </c>
      <c r="B59" t="s">
        <v>142</v>
      </c>
      <c r="C59" t="s">
        <v>168</v>
      </c>
      <c r="D59" t="s">
        <v>168</v>
      </c>
      <c r="E59" s="1">
        <v>44313</v>
      </c>
      <c r="F59" s="1">
        <v>44425</v>
      </c>
      <c r="G59" t="s">
        <v>19</v>
      </c>
      <c r="H59" t="s">
        <v>169</v>
      </c>
      <c r="I59" t="s">
        <v>170</v>
      </c>
      <c r="J59" t="s">
        <v>25</v>
      </c>
      <c r="K59" t="str">
        <f t="shared" si="0"/>
        <v>p1</v>
      </c>
      <c r="L59" t="s">
        <v>39</v>
      </c>
      <c r="M59" s="1">
        <v>44304</v>
      </c>
      <c r="N59" s="1">
        <v>44316</v>
      </c>
      <c r="O59" s="1">
        <v>44334</v>
      </c>
      <c r="P59" s="1">
        <v>44348</v>
      </c>
      <c r="Q59" t="s">
        <v>23</v>
      </c>
      <c r="R59" t="s">
        <v>23</v>
      </c>
    </row>
    <row r="60" spans="1:18" x14ac:dyDescent="0.45">
      <c r="A60">
        <v>26534</v>
      </c>
      <c r="B60" t="s">
        <v>142</v>
      </c>
      <c r="C60" t="s">
        <v>168</v>
      </c>
      <c r="D60" t="s">
        <v>168</v>
      </c>
      <c r="E60" s="1">
        <v>44313</v>
      </c>
      <c r="F60" s="1">
        <v>44425</v>
      </c>
      <c r="G60" t="s">
        <v>19</v>
      </c>
      <c r="H60" t="s">
        <v>169</v>
      </c>
      <c r="I60" t="s">
        <v>171</v>
      </c>
      <c r="J60" t="s">
        <v>25</v>
      </c>
      <c r="K60" t="str">
        <f t="shared" si="0"/>
        <v>p2</v>
      </c>
      <c r="L60" t="s">
        <v>23</v>
      </c>
      <c r="M60" s="1">
        <v>44332</v>
      </c>
      <c r="N60" s="1">
        <v>44344</v>
      </c>
      <c r="O60" s="1">
        <v>44356</v>
      </c>
      <c r="P60" s="1">
        <v>44363</v>
      </c>
      <c r="Q60" t="s">
        <v>23</v>
      </c>
      <c r="R60" t="s">
        <v>23</v>
      </c>
    </row>
    <row r="61" spans="1:18" x14ac:dyDescent="0.45">
      <c r="A61">
        <v>26535</v>
      </c>
      <c r="B61" t="s">
        <v>142</v>
      </c>
      <c r="C61" t="s">
        <v>172</v>
      </c>
      <c r="D61" t="s">
        <v>172</v>
      </c>
      <c r="E61" s="1">
        <v>44317</v>
      </c>
      <c r="F61" s="1">
        <v>44429</v>
      </c>
      <c r="G61" t="s">
        <v>166</v>
      </c>
      <c r="I61" t="s">
        <v>173</v>
      </c>
      <c r="J61" t="s">
        <v>166</v>
      </c>
      <c r="K61" t="str">
        <f t="shared" si="0"/>
        <v>p1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</row>
    <row r="62" spans="1:18" x14ac:dyDescent="0.45">
      <c r="A62">
        <v>26536</v>
      </c>
      <c r="B62" t="s">
        <v>142</v>
      </c>
      <c r="C62" t="s">
        <v>174</v>
      </c>
      <c r="D62" t="s">
        <v>174</v>
      </c>
      <c r="E62" s="1">
        <v>44333</v>
      </c>
      <c r="F62" s="1">
        <v>44440</v>
      </c>
      <c r="G62" t="s">
        <v>42</v>
      </c>
      <c r="I62" t="s">
        <v>175</v>
      </c>
      <c r="J62" t="s">
        <v>22</v>
      </c>
      <c r="K62" t="str">
        <f t="shared" si="0"/>
        <v>p1</v>
      </c>
      <c r="L62" t="s">
        <v>39</v>
      </c>
      <c r="M62" s="1">
        <v>44335</v>
      </c>
      <c r="N62" s="1">
        <v>44347</v>
      </c>
      <c r="O62" t="s">
        <v>23</v>
      </c>
      <c r="P62" t="s">
        <v>23</v>
      </c>
      <c r="Q62" s="1">
        <v>44352</v>
      </c>
      <c r="R62" t="s">
        <v>23</v>
      </c>
    </row>
    <row r="63" spans="1:18" x14ac:dyDescent="0.45">
      <c r="A63">
        <v>33845</v>
      </c>
      <c r="B63" t="s">
        <v>176</v>
      </c>
      <c r="C63" t="s">
        <v>177</v>
      </c>
      <c r="D63" t="s">
        <v>178</v>
      </c>
      <c r="E63" s="1">
        <v>44708</v>
      </c>
      <c r="F63" s="1">
        <v>44774</v>
      </c>
      <c r="G63" t="s">
        <v>42</v>
      </c>
      <c r="I63" t="s">
        <v>179</v>
      </c>
      <c r="J63" t="s">
        <v>25</v>
      </c>
      <c r="K63" t="str">
        <f t="shared" si="0"/>
        <v>p1</v>
      </c>
      <c r="L63" t="s">
        <v>39</v>
      </c>
      <c r="M63" t="s">
        <v>39</v>
      </c>
      <c r="N63" t="s">
        <v>39</v>
      </c>
      <c r="O63" t="s">
        <v>39</v>
      </c>
      <c r="P63" s="1">
        <v>44711</v>
      </c>
      <c r="Q63" t="s">
        <v>23</v>
      </c>
      <c r="R63" t="s">
        <v>23</v>
      </c>
    </row>
    <row r="64" spans="1:18" x14ac:dyDescent="0.45">
      <c r="A64">
        <v>33851</v>
      </c>
      <c r="B64" t="s">
        <v>180</v>
      </c>
      <c r="C64" t="s">
        <v>181</v>
      </c>
      <c r="D64" t="s">
        <v>182</v>
      </c>
      <c r="E64" s="1">
        <v>44669</v>
      </c>
      <c r="F64" s="1">
        <v>44721</v>
      </c>
      <c r="G64" t="s">
        <v>32</v>
      </c>
      <c r="I64" t="s">
        <v>183</v>
      </c>
      <c r="J64" t="s">
        <v>32</v>
      </c>
      <c r="K64" t="str">
        <f t="shared" si="0"/>
        <v>p1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</row>
    <row r="65" spans="1:18" x14ac:dyDescent="0.45">
      <c r="A65">
        <v>33966</v>
      </c>
      <c r="B65" t="s">
        <v>17</v>
      </c>
      <c r="C65" t="s">
        <v>184</v>
      </c>
      <c r="D65" t="s">
        <v>184</v>
      </c>
      <c r="E65" s="1">
        <v>44605</v>
      </c>
      <c r="F65" s="1">
        <v>44813</v>
      </c>
      <c r="G65" t="s">
        <v>58</v>
      </c>
      <c r="I65" t="s">
        <v>185</v>
      </c>
      <c r="J65" t="s">
        <v>25</v>
      </c>
      <c r="K65" t="str">
        <f t="shared" si="0"/>
        <v>p1</v>
      </c>
      <c r="L65" s="1">
        <v>44609</v>
      </c>
      <c r="M65" s="1">
        <v>44651</v>
      </c>
      <c r="N65" s="1">
        <v>44663</v>
      </c>
      <c r="O65" s="1">
        <v>44678</v>
      </c>
      <c r="P65" s="1">
        <v>44699</v>
      </c>
      <c r="Q65" t="s">
        <v>23</v>
      </c>
      <c r="R65" t="s">
        <v>23</v>
      </c>
    </row>
    <row r="66" spans="1:18" x14ac:dyDescent="0.45">
      <c r="A66">
        <v>33966</v>
      </c>
      <c r="B66" t="s">
        <v>17</v>
      </c>
      <c r="C66" t="s">
        <v>184</v>
      </c>
      <c r="D66" t="s">
        <v>184</v>
      </c>
      <c r="E66" s="1">
        <v>44605</v>
      </c>
      <c r="F66" s="1">
        <v>44813</v>
      </c>
      <c r="G66" t="s">
        <v>58</v>
      </c>
      <c r="I66" t="s">
        <v>186</v>
      </c>
      <c r="J66" t="s">
        <v>25</v>
      </c>
      <c r="K66" t="str">
        <f t="shared" si="0"/>
        <v>p2</v>
      </c>
      <c r="L66" s="1">
        <v>44671</v>
      </c>
      <c r="M66" s="1">
        <v>44686</v>
      </c>
      <c r="N66" s="1">
        <v>44698</v>
      </c>
      <c r="O66" s="1">
        <v>44712</v>
      </c>
      <c r="P66" s="1">
        <v>44738</v>
      </c>
      <c r="Q66" t="s">
        <v>23</v>
      </c>
      <c r="R66" t="s">
        <v>23</v>
      </c>
    </row>
    <row r="67" spans="1:18" x14ac:dyDescent="0.45">
      <c r="A67">
        <v>33984</v>
      </c>
      <c r="B67" t="s">
        <v>176</v>
      </c>
      <c r="C67" t="s">
        <v>187</v>
      </c>
      <c r="D67" t="s">
        <v>188</v>
      </c>
      <c r="E67" s="1">
        <v>44638</v>
      </c>
      <c r="F67" s="1">
        <v>44755</v>
      </c>
      <c r="G67" t="s">
        <v>137</v>
      </c>
      <c r="I67" t="s">
        <v>189</v>
      </c>
      <c r="J67" t="s">
        <v>25</v>
      </c>
      <c r="K67" t="str">
        <f t="shared" ref="K67:K130" si="1">RIGHT(I67,2)</f>
        <v>p1</v>
      </c>
      <c r="L67" s="1">
        <v>44682</v>
      </c>
      <c r="M67" s="1">
        <v>44686</v>
      </c>
      <c r="N67" s="1">
        <v>44698</v>
      </c>
      <c r="O67" s="1">
        <v>44711</v>
      </c>
      <c r="P67" s="1">
        <v>44722</v>
      </c>
      <c r="Q67" t="s">
        <v>23</v>
      </c>
      <c r="R67" t="s">
        <v>23</v>
      </c>
    </row>
    <row r="68" spans="1:18" x14ac:dyDescent="0.45">
      <c r="A68">
        <v>33984</v>
      </c>
      <c r="B68" t="s">
        <v>176</v>
      </c>
      <c r="C68" t="s">
        <v>187</v>
      </c>
      <c r="D68" t="s">
        <v>188</v>
      </c>
      <c r="E68" s="1">
        <v>44638</v>
      </c>
      <c r="F68" s="1">
        <v>44755</v>
      </c>
      <c r="G68" t="s">
        <v>137</v>
      </c>
      <c r="I68" t="s">
        <v>190</v>
      </c>
      <c r="J68" t="s">
        <v>25</v>
      </c>
      <c r="K68" t="str">
        <f t="shared" si="1"/>
        <v>p2</v>
      </c>
      <c r="L68" s="1">
        <v>44699</v>
      </c>
      <c r="M68" s="1">
        <v>44707</v>
      </c>
      <c r="N68" s="1">
        <v>44719</v>
      </c>
      <c r="O68" s="1">
        <v>44728</v>
      </c>
      <c r="P68" s="1">
        <v>44733</v>
      </c>
      <c r="Q68" t="s">
        <v>23</v>
      </c>
      <c r="R68" t="s">
        <v>23</v>
      </c>
    </row>
    <row r="69" spans="1:18" x14ac:dyDescent="0.45">
      <c r="A69">
        <v>33985</v>
      </c>
      <c r="B69" t="s">
        <v>96</v>
      </c>
      <c r="C69" t="s">
        <v>191</v>
      </c>
      <c r="D69" t="s">
        <v>191</v>
      </c>
      <c r="E69" s="1">
        <v>44640</v>
      </c>
      <c r="F69" s="1">
        <v>44754</v>
      </c>
      <c r="G69" t="s">
        <v>58</v>
      </c>
      <c r="I69" t="s">
        <v>192</v>
      </c>
      <c r="J69" t="s">
        <v>25</v>
      </c>
      <c r="K69" t="str">
        <f t="shared" si="1"/>
        <v>p1</v>
      </c>
      <c r="L69" t="s">
        <v>39</v>
      </c>
      <c r="M69" s="1">
        <v>44653</v>
      </c>
      <c r="N69" s="1">
        <v>44665</v>
      </c>
      <c r="O69" s="1">
        <v>44677</v>
      </c>
      <c r="P69" s="1">
        <v>44686</v>
      </c>
      <c r="Q69" t="s">
        <v>23</v>
      </c>
      <c r="R69" t="s">
        <v>23</v>
      </c>
    </row>
    <row r="70" spans="1:18" x14ac:dyDescent="0.45">
      <c r="A70">
        <v>33985</v>
      </c>
      <c r="B70" t="s">
        <v>96</v>
      </c>
      <c r="C70" t="s">
        <v>191</v>
      </c>
      <c r="D70" t="s">
        <v>191</v>
      </c>
      <c r="E70" s="1">
        <v>44640</v>
      </c>
      <c r="F70" s="1">
        <v>44754</v>
      </c>
      <c r="G70" t="s">
        <v>58</v>
      </c>
      <c r="I70" t="s">
        <v>193</v>
      </c>
      <c r="J70" t="s">
        <v>25</v>
      </c>
      <c r="K70" t="str">
        <f t="shared" si="1"/>
        <v>p2</v>
      </c>
      <c r="L70" s="1">
        <v>44682</v>
      </c>
      <c r="M70" s="1">
        <v>44691</v>
      </c>
      <c r="N70" s="1">
        <v>44703</v>
      </c>
      <c r="O70" s="1">
        <v>44715</v>
      </c>
      <c r="P70" s="1">
        <v>44724</v>
      </c>
      <c r="Q70" t="s">
        <v>23</v>
      </c>
      <c r="R70" t="s">
        <v>23</v>
      </c>
    </row>
    <row r="71" spans="1:18" x14ac:dyDescent="0.45">
      <c r="A71">
        <v>34012</v>
      </c>
      <c r="B71" t="s">
        <v>93</v>
      </c>
      <c r="C71" t="s">
        <v>194</v>
      </c>
      <c r="D71" t="s">
        <v>194</v>
      </c>
      <c r="E71" s="1">
        <v>44685</v>
      </c>
      <c r="F71" s="1">
        <v>44740</v>
      </c>
      <c r="G71" t="s">
        <v>19</v>
      </c>
      <c r="H71" t="s">
        <v>169</v>
      </c>
      <c r="I71" t="s">
        <v>195</v>
      </c>
      <c r="J71" t="s">
        <v>25</v>
      </c>
      <c r="K71" t="str">
        <f t="shared" si="1"/>
        <v>p1</v>
      </c>
      <c r="L71" t="s">
        <v>39</v>
      </c>
      <c r="M71" t="s">
        <v>39</v>
      </c>
      <c r="N71" t="s">
        <v>39</v>
      </c>
      <c r="O71" s="1">
        <v>44693</v>
      </c>
      <c r="P71" s="1">
        <v>44733</v>
      </c>
      <c r="Q71" t="s">
        <v>23</v>
      </c>
      <c r="R71" t="s">
        <v>23</v>
      </c>
    </row>
    <row r="72" spans="1:18" x14ac:dyDescent="0.45">
      <c r="A72">
        <v>34012</v>
      </c>
      <c r="B72" t="s">
        <v>93</v>
      </c>
      <c r="C72" t="s">
        <v>194</v>
      </c>
      <c r="D72" t="s">
        <v>194</v>
      </c>
      <c r="E72" s="1">
        <v>44685</v>
      </c>
      <c r="F72" s="1">
        <v>44740</v>
      </c>
      <c r="G72" t="s">
        <v>19</v>
      </c>
      <c r="H72" t="s">
        <v>169</v>
      </c>
      <c r="I72" t="s">
        <v>196</v>
      </c>
      <c r="J72" t="s">
        <v>25</v>
      </c>
      <c r="K72" t="str">
        <f t="shared" si="1"/>
        <v>p2</v>
      </c>
      <c r="L72" t="s">
        <v>23</v>
      </c>
      <c r="M72" s="1">
        <v>44691</v>
      </c>
      <c r="N72" s="1">
        <v>44703</v>
      </c>
      <c r="O72" t="s">
        <v>197</v>
      </c>
      <c r="P72" t="s">
        <v>51</v>
      </c>
      <c r="Q72" t="s">
        <v>23</v>
      </c>
      <c r="R72" t="s">
        <v>23</v>
      </c>
    </row>
    <row r="73" spans="1:18" x14ac:dyDescent="0.45">
      <c r="A73">
        <v>34044</v>
      </c>
      <c r="B73" t="s">
        <v>78</v>
      </c>
      <c r="C73" t="s">
        <v>198</v>
      </c>
      <c r="D73" t="s">
        <v>198</v>
      </c>
      <c r="E73" s="1">
        <v>44669</v>
      </c>
      <c r="F73" s="1">
        <v>44777</v>
      </c>
      <c r="G73" t="s">
        <v>166</v>
      </c>
      <c r="I73" t="s">
        <v>199</v>
      </c>
      <c r="J73" t="s">
        <v>166</v>
      </c>
      <c r="K73" t="str">
        <f t="shared" si="1"/>
        <v>p1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</row>
    <row r="74" spans="1:18" x14ac:dyDescent="0.45">
      <c r="A74">
        <v>34045</v>
      </c>
      <c r="B74" t="s">
        <v>115</v>
      </c>
      <c r="C74" t="s">
        <v>200</v>
      </c>
      <c r="D74" t="s">
        <v>200</v>
      </c>
      <c r="E74" s="1">
        <v>44622</v>
      </c>
      <c r="F74" s="1">
        <v>44744</v>
      </c>
      <c r="G74" t="s">
        <v>70</v>
      </c>
      <c r="I74" t="s">
        <v>201</v>
      </c>
      <c r="J74" t="s">
        <v>25</v>
      </c>
      <c r="K74" t="str">
        <f t="shared" si="1"/>
        <v>p1</v>
      </c>
      <c r="L74" s="1">
        <v>44640</v>
      </c>
      <c r="M74" s="1">
        <v>44652</v>
      </c>
      <c r="N74" s="1">
        <v>44664</v>
      </c>
      <c r="O74" s="1">
        <v>44678</v>
      </c>
      <c r="P74" s="1">
        <v>44741</v>
      </c>
      <c r="Q74" t="s">
        <v>23</v>
      </c>
      <c r="R74" t="s">
        <v>23</v>
      </c>
    </row>
    <row r="75" spans="1:18" x14ac:dyDescent="0.45">
      <c r="A75">
        <v>34046</v>
      </c>
      <c r="B75" t="s">
        <v>52</v>
      </c>
      <c r="C75" t="s">
        <v>202</v>
      </c>
      <c r="D75" t="s">
        <v>203</v>
      </c>
      <c r="E75" s="1">
        <v>44691</v>
      </c>
      <c r="F75" s="1">
        <v>44739</v>
      </c>
      <c r="G75" t="s">
        <v>70</v>
      </c>
      <c r="I75" t="s">
        <v>204</v>
      </c>
      <c r="J75" t="s">
        <v>25</v>
      </c>
      <c r="K75" t="str">
        <f t="shared" si="1"/>
        <v>p1</v>
      </c>
      <c r="L75" t="s">
        <v>39</v>
      </c>
      <c r="M75" s="1">
        <v>44695</v>
      </c>
      <c r="N75" s="1">
        <v>44707</v>
      </c>
      <c r="O75" s="1">
        <v>44723</v>
      </c>
      <c r="P75" s="1">
        <v>44735</v>
      </c>
      <c r="Q75" t="s">
        <v>23</v>
      </c>
      <c r="R75" t="s">
        <v>23</v>
      </c>
    </row>
    <row r="76" spans="1:18" x14ac:dyDescent="0.45">
      <c r="A76">
        <v>34071</v>
      </c>
      <c r="B76" t="s">
        <v>118</v>
      </c>
      <c r="C76" t="s">
        <v>205</v>
      </c>
      <c r="D76" t="s">
        <v>205</v>
      </c>
      <c r="E76" s="1">
        <v>44661</v>
      </c>
      <c r="F76" s="1">
        <v>44779</v>
      </c>
      <c r="G76" t="s">
        <v>28</v>
      </c>
      <c r="I76" t="s">
        <v>206</v>
      </c>
      <c r="J76" t="s">
        <v>25</v>
      </c>
      <c r="K76" t="str">
        <f t="shared" si="1"/>
        <v>p1</v>
      </c>
      <c r="L76" t="s">
        <v>39</v>
      </c>
      <c r="M76" s="1">
        <v>44661</v>
      </c>
      <c r="N76" s="1">
        <v>44673</v>
      </c>
      <c r="O76" s="1">
        <v>44689</v>
      </c>
      <c r="P76" s="1">
        <v>44707</v>
      </c>
      <c r="Q76" t="s">
        <v>23</v>
      </c>
      <c r="R76" t="s">
        <v>23</v>
      </c>
    </row>
    <row r="77" spans="1:18" x14ac:dyDescent="0.45">
      <c r="A77">
        <v>34073</v>
      </c>
      <c r="B77" t="s">
        <v>180</v>
      </c>
      <c r="C77" t="s">
        <v>207</v>
      </c>
      <c r="D77" t="s">
        <v>208</v>
      </c>
      <c r="E77" s="1">
        <v>44675</v>
      </c>
      <c r="F77" s="1">
        <v>44715</v>
      </c>
      <c r="G77" t="s">
        <v>70</v>
      </c>
      <c r="I77" t="s">
        <v>209</v>
      </c>
      <c r="J77" t="s">
        <v>25</v>
      </c>
      <c r="K77" t="str">
        <f t="shared" si="1"/>
        <v>p1</v>
      </c>
      <c r="L77" t="s">
        <v>23</v>
      </c>
      <c r="M77" s="1">
        <v>44685</v>
      </c>
      <c r="N77" s="1">
        <v>44697</v>
      </c>
      <c r="O77" s="1">
        <v>44711</v>
      </c>
      <c r="P77" t="s">
        <v>51</v>
      </c>
      <c r="Q77" t="s">
        <v>23</v>
      </c>
      <c r="R77" t="s">
        <v>23</v>
      </c>
    </row>
    <row r="78" spans="1:18" x14ac:dyDescent="0.45">
      <c r="A78">
        <v>34075</v>
      </c>
      <c r="B78" t="s">
        <v>210</v>
      </c>
      <c r="C78" t="s">
        <v>211</v>
      </c>
      <c r="D78" t="s">
        <v>211</v>
      </c>
      <c r="E78" s="1">
        <v>44693</v>
      </c>
      <c r="F78" s="1">
        <v>44701</v>
      </c>
      <c r="G78" t="s">
        <v>42</v>
      </c>
      <c r="I78" t="s">
        <v>212</v>
      </c>
      <c r="J78" t="s">
        <v>25</v>
      </c>
      <c r="K78" t="str">
        <f t="shared" si="1"/>
        <v>p1</v>
      </c>
      <c r="L78" t="s">
        <v>39</v>
      </c>
      <c r="N78" t="s">
        <v>39</v>
      </c>
      <c r="O78" t="s">
        <v>23</v>
      </c>
      <c r="P78" t="s">
        <v>51</v>
      </c>
      <c r="Q78" t="s">
        <v>23</v>
      </c>
      <c r="R78" t="s">
        <v>23</v>
      </c>
    </row>
    <row r="79" spans="1:18" x14ac:dyDescent="0.45">
      <c r="A79">
        <v>34076</v>
      </c>
      <c r="B79" t="s">
        <v>213</v>
      </c>
      <c r="C79" t="s">
        <v>214</v>
      </c>
      <c r="D79" t="s">
        <v>214</v>
      </c>
      <c r="E79" s="1">
        <v>44666</v>
      </c>
      <c r="F79" s="1">
        <v>44720</v>
      </c>
      <c r="G79" t="s">
        <v>166</v>
      </c>
      <c r="I79" t="s">
        <v>215</v>
      </c>
      <c r="J79" t="s">
        <v>166</v>
      </c>
      <c r="K79" t="str">
        <f t="shared" si="1"/>
        <v>p1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</row>
    <row r="80" spans="1:18" x14ac:dyDescent="0.45">
      <c r="A80">
        <v>34077</v>
      </c>
      <c r="B80" t="s">
        <v>101</v>
      </c>
      <c r="C80" t="s">
        <v>216</v>
      </c>
      <c r="D80" t="s">
        <v>216</v>
      </c>
      <c r="E80" s="1">
        <v>44640</v>
      </c>
      <c r="F80" s="1">
        <v>44753</v>
      </c>
      <c r="G80" t="s">
        <v>58</v>
      </c>
      <c r="I80" t="s">
        <v>217</v>
      </c>
      <c r="J80" t="s">
        <v>25</v>
      </c>
      <c r="K80" t="str">
        <f t="shared" si="1"/>
        <v>p1</v>
      </c>
      <c r="L80" s="1">
        <v>44651</v>
      </c>
      <c r="M80" s="1">
        <v>44654</v>
      </c>
      <c r="N80" s="1">
        <v>44666</v>
      </c>
      <c r="O80" t="s">
        <v>23</v>
      </c>
      <c r="P80" t="s">
        <v>23</v>
      </c>
      <c r="Q80" t="s">
        <v>23</v>
      </c>
      <c r="R80" t="s">
        <v>23</v>
      </c>
    </row>
    <row r="81" spans="1:18" x14ac:dyDescent="0.45">
      <c r="A81">
        <v>34077</v>
      </c>
      <c r="B81" t="s">
        <v>101</v>
      </c>
      <c r="C81" t="s">
        <v>216</v>
      </c>
      <c r="D81" t="s">
        <v>216</v>
      </c>
      <c r="E81" s="1">
        <v>44640</v>
      </c>
      <c r="F81" s="1">
        <v>44753</v>
      </c>
      <c r="G81" t="s">
        <v>58</v>
      </c>
      <c r="I81" t="s">
        <v>218</v>
      </c>
      <c r="J81" t="s">
        <v>25</v>
      </c>
      <c r="K81" t="str">
        <f t="shared" si="1"/>
        <v>p2</v>
      </c>
      <c r="L81" s="1">
        <v>44684</v>
      </c>
      <c r="M81" s="1">
        <v>44694</v>
      </c>
      <c r="N81" s="1">
        <v>44706</v>
      </c>
      <c r="O81" t="s">
        <v>23</v>
      </c>
      <c r="P81" t="s">
        <v>23</v>
      </c>
      <c r="Q81" t="s">
        <v>23</v>
      </c>
      <c r="R81" t="s">
        <v>23</v>
      </c>
    </row>
    <row r="82" spans="1:18" x14ac:dyDescent="0.45">
      <c r="A82">
        <v>34078</v>
      </c>
      <c r="B82" t="s">
        <v>17</v>
      </c>
      <c r="C82" t="s">
        <v>219</v>
      </c>
      <c r="D82" t="s">
        <v>220</v>
      </c>
      <c r="E82" s="1">
        <v>44605</v>
      </c>
      <c r="F82" s="1">
        <v>44793</v>
      </c>
      <c r="G82" t="s">
        <v>28</v>
      </c>
      <c r="I82" t="s">
        <v>221</v>
      </c>
      <c r="J82" t="s">
        <v>25</v>
      </c>
      <c r="K82" t="str">
        <f t="shared" si="1"/>
        <v>p1</v>
      </c>
      <c r="L82" s="1">
        <v>44647</v>
      </c>
      <c r="M82" s="1">
        <v>44654</v>
      </c>
      <c r="N82" s="1">
        <v>44666</v>
      </c>
      <c r="O82" s="1">
        <v>44680</v>
      </c>
      <c r="P82" s="1">
        <v>44700</v>
      </c>
      <c r="Q82" t="s">
        <v>23</v>
      </c>
      <c r="R82" t="s">
        <v>23</v>
      </c>
    </row>
    <row r="83" spans="1:18" x14ac:dyDescent="0.45">
      <c r="A83">
        <v>34079</v>
      </c>
      <c r="B83" t="s">
        <v>78</v>
      </c>
      <c r="C83" t="s">
        <v>222</v>
      </c>
      <c r="D83" t="s">
        <v>222</v>
      </c>
      <c r="E83" s="1">
        <v>44669</v>
      </c>
      <c r="F83" s="1">
        <v>44777</v>
      </c>
      <c r="G83" t="s">
        <v>28</v>
      </c>
      <c r="I83" t="s">
        <v>223</v>
      </c>
      <c r="J83" t="s">
        <v>25</v>
      </c>
      <c r="K83" t="str">
        <f t="shared" si="1"/>
        <v>p1</v>
      </c>
      <c r="L83" t="s">
        <v>23</v>
      </c>
      <c r="M83" s="1">
        <v>44700</v>
      </c>
      <c r="N83" s="1">
        <v>44712</v>
      </c>
      <c r="O83" s="1">
        <v>44725</v>
      </c>
      <c r="P83" s="1">
        <v>44731</v>
      </c>
      <c r="Q83" t="s">
        <v>23</v>
      </c>
      <c r="R83" t="s">
        <v>23</v>
      </c>
    </row>
    <row r="84" spans="1:18" x14ac:dyDescent="0.45">
      <c r="A84">
        <v>34087</v>
      </c>
      <c r="B84" t="s">
        <v>159</v>
      </c>
      <c r="C84" t="s">
        <v>224</v>
      </c>
      <c r="D84" t="s">
        <v>224</v>
      </c>
      <c r="E84" s="1">
        <v>44615</v>
      </c>
      <c r="F84" s="1">
        <v>44790</v>
      </c>
      <c r="G84" t="s">
        <v>70</v>
      </c>
      <c r="I84" t="s">
        <v>225</v>
      </c>
      <c r="J84" t="s">
        <v>25</v>
      </c>
      <c r="K84" t="str">
        <f t="shared" si="1"/>
        <v>p1</v>
      </c>
      <c r="L84" s="1">
        <v>44627</v>
      </c>
      <c r="M84" s="1">
        <v>44659</v>
      </c>
      <c r="N84" s="1">
        <v>44671</v>
      </c>
      <c r="O84" s="1">
        <v>44683</v>
      </c>
      <c r="P84" s="1">
        <v>44714</v>
      </c>
      <c r="Q84" t="s">
        <v>23</v>
      </c>
      <c r="R84" t="s">
        <v>23</v>
      </c>
    </row>
    <row r="85" spans="1:18" x14ac:dyDescent="0.45">
      <c r="A85">
        <v>34088</v>
      </c>
      <c r="B85" t="s">
        <v>159</v>
      </c>
      <c r="C85" t="s">
        <v>226</v>
      </c>
      <c r="D85" t="s">
        <v>226</v>
      </c>
      <c r="E85" s="1">
        <v>44631</v>
      </c>
      <c r="F85" s="1">
        <v>44707</v>
      </c>
      <c r="G85" t="s">
        <v>32</v>
      </c>
      <c r="I85" t="s">
        <v>227</v>
      </c>
      <c r="J85" t="s">
        <v>32</v>
      </c>
      <c r="K85" t="str">
        <f t="shared" si="1"/>
        <v>p1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</row>
    <row r="86" spans="1:18" x14ac:dyDescent="0.45">
      <c r="A86">
        <v>34090</v>
      </c>
      <c r="B86" t="s">
        <v>101</v>
      </c>
      <c r="C86" t="s">
        <v>228</v>
      </c>
      <c r="D86" t="s">
        <v>229</v>
      </c>
      <c r="E86" s="1">
        <v>44641</v>
      </c>
      <c r="F86" s="1">
        <v>44789</v>
      </c>
      <c r="G86" t="s">
        <v>70</v>
      </c>
      <c r="I86" t="s">
        <v>230</v>
      </c>
      <c r="J86" t="s">
        <v>25</v>
      </c>
      <c r="K86" t="str">
        <f t="shared" si="1"/>
        <v>p1</v>
      </c>
      <c r="L86" s="1">
        <v>44664</v>
      </c>
      <c r="M86" s="1">
        <v>44671</v>
      </c>
      <c r="N86" s="1">
        <v>44683</v>
      </c>
      <c r="O86" s="1">
        <v>44701</v>
      </c>
      <c r="P86" s="1">
        <v>44729</v>
      </c>
      <c r="Q86" t="s">
        <v>23</v>
      </c>
      <c r="R86" t="s">
        <v>23</v>
      </c>
    </row>
    <row r="87" spans="1:18" x14ac:dyDescent="0.45">
      <c r="A87">
        <v>34111</v>
      </c>
      <c r="B87" t="s">
        <v>93</v>
      </c>
      <c r="C87" t="s">
        <v>231</v>
      </c>
      <c r="D87" t="s">
        <v>231</v>
      </c>
      <c r="E87" s="1">
        <v>44692</v>
      </c>
      <c r="F87" s="1">
        <v>44725</v>
      </c>
      <c r="G87" t="s">
        <v>166</v>
      </c>
      <c r="I87" t="s">
        <v>232</v>
      </c>
      <c r="J87" t="s">
        <v>166</v>
      </c>
      <c r="K87" t="str">
        <f t="shared" si="1"/>
        <v>p1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</row>
    <row r="88" spans="1:18" x14ac:dyDescent="0.45">
      <c r="A88">
        <v>34112</v>
      </c>
      <c r="B88" t="s">
        <v>93</v>
      </c>
      <c r="C88" t="s">
        <v>233</v>
      </c>
      <c r="D88" t="s">
        <v>233</v>
      </c>
      <c r="E88" s="1">
        <v>44685</v>
      </c>
      <c r="F88" s="1">
        <v>44740</v>
      </c>
      <c r="G88" t="s">
        <v>28</v>
      </c>
      <c r="I88" t="s">
        <v>234</v>
      </c>
      <c r="J88" t="s">
        <v>25</v>
      </c>
      <c r="K88" t="str">
        <f t="shared" si="1"/>
        <v>p1</v>
      </c>
      <c r="L88" t="s">
        <v>39</v>
      </c>
      <c r="M88" s="1">
        <v>44690</v>
      </c>
      <c r="N88" s="1">
        <v>44702</v>
      </c>
      <c r="O88" s="1">
        <v>44713</v>
      </c>
      <c r="P88" s="1">
        <v>44724</v>
      </c>
      <c r="Q88" t="s">
        <v>23</v>
      </c>
      <c r="R88" t="s">
        <v>23</v>
      </c>
    </row>
    <row r="89" spans="1:18" x14ac:dyDescent="0.45">
      <c r="A89">
        <v>34115</v>
      </c>
      <c r="B89" t="s">
        <v>93</v>
      </c>
      <c r="C89" t="s">
        <v>235</v>
      </c>
      <c r="D89" t="s">
        <v>235</v>
      </c>
      <c r="E89" s="1">
        <v>44690</v>
      </c>
      <c r="F89" s="1">
        <v>44740</v>
      </c>
      <c r="G89" t="s">
        <v>28</v>
      </c>
      <c r="I89" t="s">
        <v>236</v>
      </c>
      <c r="J89" t="s">
        <v>64</v>
      </c>
      <c r="K89" t="str">
        <f t="shared" si="1"/>
        <v>p1</v>
      </c>
      <c r="L89" t="s">
        <v>39</v>
      </c>
      <c r="M89" s="1">
        <v>44692</v>
      </c>
      <c r="N89" s="1">
        <v>44704</v>
      </c>
      <c r="O89" s="1">
        <v>44719</v>
      </c>
      <c r="P89" s="1">
        <v>44728</v>
      </c>
      <c r="Q89" t="s">
        <v>23</v>
      </c>
      <c r="R89" s="1">
        <v>44701</v>
      </c>
    </row>
    <row r="90" spans="1:18" x14ac:dyDescent="0.45">
      <c r="A90">
        <v>34117</v>
      </c>
      <c r="B90" t="s">
        <v>213</v>
      </c>
      <c r="C90" t="s">
        <v>237</v>
      </c>
      <c r="D90" t="s">
        <v>237</v>
      </c>
      <c r="E90" s="1">
        <v>44666</v>
      </c>
      <c r="F90" s="1">
        <v>44720</v>
      </c>
      <c r="G90" t="s">
        <v>42</v>
      </c>
      <c r="I90" t="s">
        <v>238</v>
      </c>
      <c r="J90" t="s">
        <v>25</v>
      </c>
      <c r="K90" t="str">
        <f t="shared" si="1"/>
        <v>p1</v>
      </c>
      <c r="L90" t="s">
        <v>39</v>
      </c>
      <c r="M90" s="1">
        <v>44658</v>
      </c>
      <c r="N90" s="1">
        <v>44670</v>
      </c>
      <c r="O90" s="1">
        <v>44679</v>
      </c>
      <c r="P90" s="1">
        <v>44701</v>
      </c>
      <c r="Q90" t="s">
        <v>23</v>
      </c>
      <c r="R90" t="s">
        <v>23</v>
      </c>
    </row>
    <row r="91" spans="1:18" x14ac:dyDescent="0.45">
      <c r="A91">
        <v>34118</v>
      </c>
      <c r="B91" t="s">
        <v>93</v>
      </c>
      <c r="C91" t="s">
        <v>239</v>
      </c>
      <c r="D91" t="s">
        <v>239</v>
      </c>
      <c r="E91" s="1">
        <v>44675</v>
      </c>
      <c r="F91" s="1">
        <v>44718</v>
      </c>
      <c r="G91" t="s">
        <v>32</v>
      </c>
      <c r="I91" t="s">
        <v>240</v>
      </c>
      <c r="J91" t="s">
        <v>32</v>
      </c>
      <c r="K91" t="str">
        <f t="shared" si="1"/>
        <v>p1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</row>
    <row r="92" spans="1:18" x14ac:dyDescent="0.45">
      <c r="A92">
        <v>34130</v>
      </c>
      <c r="B92" t="s">
        <v>118</v>
      </c>
      <c r="C92" t="s">
        <v>241</v>
      </c>
      <c r="D92" t="s">
        <v>242</v>
      </c>
      <c r="E92" s="1">
        <v>44665</v>
      </c>
      <c r="F92" s="1">
        <v>44735</v>
      </c>
      <c r="G92" t="s">
        <v>28</v>
      </c>
      <c r="I92" t="s">
        <v>243</v>
      </c>
      <c r="J92" t="s">
        <v>25</v>
      </c>
      <c r="K92" t="str">
        <f t="shared" si="1"/>
        <v>p1</v>
      </c>
      <c r="L92" t="s">
        <v>39</v>
      </c>
      <c r="M92" s="1">
        <v>44659</v>
      </c>
      <c r="N92" s="1">
        <v>44671</v>
      </c>
      <c r="O92" s="1">
        <v>44682</v>
      </c>
      <c r="P92" s="1">
        <v>44696</v>
      </c>
      <c r="Q92" t="s">
        <v>23</v>
      </c>
      <c r="R92" t="s">
        <v>23</v>
      </c>
    </row>
    <row r="93" spans="1:18" x14ac:dyDescent="0.45">
      <c r="A93">
        <v>34131</v>
      </c>
      <c r="B93" t="s">
        <v>244</v>
      </c>
      <c r="C93" t="s">
        <v>245</v>
      </c>
      <c r="D93" t="s">
        <v>246</v>
      </c>
      <c r="E93" s="1">
        <v>44670</v>
      </c>
      <c r="F93" s="1">
        <v>44715</v>
      </c>
      <c r="G93" t="s">
        <v>70</v>
      </c>
      <c r="I93" t="s">
        <v>247</v>
      </c>
      <c r="J93" t="s">
        <v>25</v>
      </c>
      <c r="K93" t="str">
        <f t="shared" si="1"/>
        <v>p1</v>
      </c>
      <c r="L93" t="s">
        <v>39</v>
      </c>
      <c r="M93" s="1">
        <v>44669</v>
      </c>
      <c r="N93" s="1">
        <v>44681</v>
      </c>
      <c r="O93" s="1">
        <v>44689</v>
      </c>
      <c r="P93" s="1">
        <v>44707</v>
      </c>
      <c r="Q93" t="s">
        <v>23</v>
      </c>
      <c r="R93" t="s">
        <v>23</v>
      </c>
    </row>
    <row r="94" spans="1:18" x14ac:dyDescent="0.45">
      <c r="A94">
        <v>34132</v>
      </c>
      <c r="B94" t="s">
        <v>244</v>
      </c>
      <c r="C94" t="s">
        <v>248</v>
      </c>
      <c r="D94" t="s">
        <v>249</v>
      </c>
      <c r="E94" s="1">
        <v>44670</v>
      </c>
      <c r="F94" s="1">
        <v>44715</v>
      </c>
      <c r="G94" t="s">
        <v>70</v>
      </c>
      <c r="I94" t="s">
        <v>250</v>
      </c>
      <c r="J94" t="s">
        <v>25</v>
      </c>
      <c r="K94" t="str">
        <f t="shared" si="1"/>
        <v>p1</v>
      </c>
      <c r="L94" t="s">
        <v>39</v>
      </c>
      <c r="M94" t="s">
        <v>39</v>
      </c>
      <c r="N94" t="s">
        <v>39</v>
      </c>
      <c r="O94" s="1">
        <v>44690</v>
      </c>
      <c r="P94" s="1">
        <v>44706</v>
      </c>
      <c r="Q94" t="s">
        <v>23</v>
      </c>
      <c r="R94" t="s">
        <v>23</v>
      </c>
    </row>
    <row r="95" spans="1:18" x14ac:dyDescent="0.45">
      <c r="A95">
        <v>34133</v>
      </c>
      <c r="B95" t="s">
        <v>244</v>
      </c>
      <c r="C95" t="s">
        <v>251</v>
      </c>
      <c r="D95" t="s">
        <v>252</v>
      </c>
      <c r="E95" s="1">
        <v>44670</v>
      </c>
      <c r="F95" s="1">
        <v>44683</v>
      </c>
      <c r="G95" t="s">
        <v>70</v>
      </c>
      <c r="I95" t="s">
        <v>253</v>
      </c>
      <c r="J95" t="s">
        <v>25</v>
      </c>
      <c r="K95" t="str">
        <f t="shared" si="1"/>
        <v>p1</v>
      </c>
      <c r="L95" t="s">
        <v>39</v>
      </c>
      <c r="M95" t="s">
        <v>39</v>
      </c>
      <c r="N95" t="s">
        <v>39</v>
      </c>
      <c r="O95" s="1">
        <v>44676</v>
      </c>
      <c r="P95" t="s">
        <v>51</v>
      </c>
      <c r="Q95" t="s">
        <v>23</v>
      </c>
      <c r="R95" t="s">
        <v>23</v>
      </c>
    </row>
    <row r="96" spans="1:18" x14ac:dyDescent="0.45">
      <c r="A96">
        <v>34485</v>
      </c>
      <c r="B96" t="s">
        <v>254</v>
      </c>
      <c r="C96" t="s">
        <v>255</v>
      </c>
      <c r="D96" t="s">
        <v>255</v>
      </c>
      <c r="E96" s="1">
        <v>44643</v>
      </c>
      <c r="F96" s="1">
        <v>44754</v>
      </c>
      <c r="G96" t="s">
        <v>28</v>
      </c>
      <c r="I96" t="s">
        <v>256</v>
      </c>
      <c r="J96" t="s">
        <v>25</v>
      </c>
      <c r="K96" t="str">
        <f t="shared" si="1"/>
        <v>p1</v>
      </c>
      <c r="L96" t="s">
        <v>39</v>
      </c>
      <c r="M96" s="1">
        <v>44653</v>
      </c>
      <c r="N96" s="1">
        <v>44665</v>
      </c>
      <c r="O96" s="1">
        <v>44681</v>
      </c>
      <c r="P96" s="1">
        <v>44698</v>
      </c>
      <c r="Q96" t="s">
        <v>23</v>
      </c>
      <c r="R96" t="s">
        <v>23</v>
      </c>
    </row>
    <row r="97" spans="1:18" x14ac:dyDescent="0.45">
      <c r="A97">
        <v>48392</v>
      </c>
      <c r="B97" t="s">
        <v>180</v>
      </c>
      <c r="C97" t="s">
        <v>257</v>
      </c>
      <c r="D97" t="s">
        <v>258</v>
      </c>
      <c r="E97" s="1">
        <v>45045</v>
      </c>
      <c r="F97" s="1">
        <v>45131</v>
      </c>
      <c r="G97" t="s">
        <v>70</v>
      </c>
      <c r="I97" t="s">
        <v>259</v>
      </c>
      <c r="J97" t="s">
        <v>25</v>
      </c>
      <c r="K97" t="str">
        <f t="shared" si="1"/>
        <v>p1</v>
      </c>
      <c r="L97" t="s">
        <v>23</v>
      </c>
      <c r="M97" s="1">
        <v>45053</v>
      </c>
      <c r="N97" s="1">
        <v>45065</v>
      </c>
      <c r="O97" s="1">
        <v>45076</v>
      </c>
      <c r="P97" s="1">
        <v>45079</v>
      </c>
      <c r="Q97" t="s">
        <v>23</v>
      </c>
      <c r="R97" t="s">
        <v>23</v>
      </c>
    </row>
    <row r="98" spans="1:18" x14ac:dyDescent="0.45">
      <c r="A98">
        <v>48393</v>
      </c>
      <c r="B98" t="s">
        <v>176</v>
      </c>
      <c r="C98" t="s">
        <v>260</v>
      </c>
      <c r="D98" t="s">
        <v>261</v>
      </c>
      <c r="E98" s="1">
        <v>45026</v>
      </c>
      <c r="F98" s="1">
        <v>45145</v>
      </c>
      <c r="G98" t="s">
        <v>28</v>
      </c>
      <c r="I98" t="s">
        <v>262</v>
      </c>
      <c r="J98" t="s">
        <v>25</v>
      </c>
      <c r="K98" t="str">
        <f t="shared" si="1"/>
        <v>p1</v>
      </c>
      <c r="L98" t="s">
        <v>23</v>
      </c>
      <c r="M98" s="1">
        <v>45049</v>
      </c>
      <c r="N98" s="1">
        <v>45061</v>
      </c>
      <c r="O98" s="1">
        <v>45070</v>
      </c>
      <c r="P98" s="1">
        <v>45073</v>
      </c>
      <c r="Q98" t="s">
        <v>23</v>
      </c>
      <c r="R98" t="s">
        <v>23</v>
      </c>
    </row>
    <row r="99" spans="1:18" x14ac:dyDescent="0.45">
      <c r="A99">
        <v>48395</v>
      </c>
      <c r="B99" t="s">
        <v>254</v>
      </c>
      <c r="C99" t="s">
        <v>263</v>
      </c>
      <c r="D99" t="s">
        <v>263</v>
      </c>
      <c r="E99" s="1">
        <v>45030</v>
      </c>
      <c r="F99" s="1">
        <v>45160</v>
      </c>
      <c r="G99" t="s">
        <v>58</v>
      </c>
      <c r="I99" t="s">
        <v>264</v>
      </c>
      <c r="J99" t="s">
        <v>25</v>
      </c>
      <c r="K99" t="str">
        <f t="shared" si="1"/>
        <v>p1</v>
      </c>
      <c r="L99" t="s">
        <v>39</v>
      </c>
      <c r="M99" t="s">
        <v>39</v>
      </c>
      <c r="N99" t="s">
        <v>39</v>
      </c>
      <c r="O99" s="1">
        <v>45044</v>
      </c>
      <c r="P99" s="1">
        <v>45052</v>
      </c>
      <c r="Q99" t="s">
        <v>23</v>
      </c>
      <c r="R99" t="s">
        <v>23</v>
      </c>
    </row>
    <row r="100" spans="1:18" x14ac:dyDescent="0.45">
      <c r="A100">
        <v>48395</v>
      </c>
      <c r="B100" t="s">
        <v>254</v>
      </c>
      <c r="C100" t="s">
        <v>263</v>
      </c>
      <c r="D100" t="s">
        <v>263</v>
      </c>
      <c r="E100" s="1">
        <v>45030</v>
      </c>
      <c r="F100" s="1">
        <v>45160</v>
      </c>
      <c r="G100" t="s">
        <v>58</v>
      </c>
      <c r="I100" t="s">
        <v>265</v>
      </c>
      <c r="J100" t="s">
        <v>25</v>
      </c>
      <c r="K100" t="str">
        <f t="shared" si="1"/>
        <v>p2</v>
      </c>
      <c r="L100" s="1">
        <v>45042</v>
      </c>
      <c r="M100" t="s">
        <v>23</v>
      </c>
      <c r="N100" t="s">
        <v>23</v>
      </c>
      <c r="O100" s="1">
        <v>45070</v>
      </c>
      <c r="P100" s="1">
        <v>45082</v>
      </c>
      <c r="Q100" t="s">
        <v>23</v>
      </c>
      <c r="R100" t="s">
        <v>23</v>
      </c>
    </row>
    <row r="101" spans="1:18" x14ac:dyDescent="0.45">
      <c r="A101">
        <v>48395</v>
      </c>
      <c r="B101" t="s">
        <v>254</v>
      </c>
      <c r="C101" t="s">
        <v>263</v>
      </c>
      <c r="D101" t="s">
        <v>263</v>
      </c>
      <c r="E101" s="1">
        <v>45030</v>
      </c>
      <c r="F101" s="1">
        <v>45160</v>
      </c>
      <c r="G101" t="s">
        <v>58</v>
      </c>
      <c r="I101" t="s">
        <v>266</v>
      </c>
      <c r="J101" t="s">
        <v>25</v>
      </c>
      <c r="K101" t="str">
        <f t="shared" si="1"/>
        <v>p3</v>
      </c>
      <c r="L101" s="1">
        <v>45068</v>
      </c>
      <c r="M101" t="s">
        <v>23</v>
      </c>
      <c r="N101" t="s">
        <v>23</v>
      </c>
      <c r="O101" s="1">
        <v>45098</v>
      </c>
      <c r="P101" s="1">
        <v>45101</v>
      </c>
      <c r="Q101" t="s">
        <v>23</v>
      </c>
      <c r="R101" t="s">
        <v>23</v>
      </c>
    </row>
    <row r="102" spans="1:18" x14ac:dyDescent="0.45">
      <c r="A102">
        <v>48395</v>
      </c>
      <c r="B102" t="s">
        <v>254</v>
      </c>
      <c r="C102" t="s">
        <v>263</v>
      </c>
      <c r="D102" t="s">
        <v>263</v>
      </c>
      <c r="E102" s="1">
        <v>45030</v>
      </c>
      <c r="F102" s="1">
        <v>45160</v>
      </c>
      <c r="G102" t="s">
        <v>58</v>
      </c>
      <c r="I102" t="s">
        <v>267</v>
      </c>
      <c r="J102" t="s">
        <v>25</v>
      </c>
      <c r="K102" t="str">
        <f t="shared" si="1"/>
        <v>p4</v>
      </c>
      <c r="L102" s="1">
        <v>45096</v>
      </c>
      <c r="M102" t="s">
        <v>23</v>
      </c>
      <c r="N102" t="s">
        <v>23</v>
      </c>
      <c r="O102" s="1">
        <v>45124</v>
      </c>
      <c r="P102" s="1">
        <v>45134</v>
      </c>
      <c r="Q102" t="s">
        <v>23</v>
      </c>
      <c r="R102" t="s">
        <v>23</v>
      </c>
    </row>
    <row r="103" spans="1:18" x14ac:dyDescent="0.45">
      <c r="A103">
        <v>48397</v>
      </c>
      <c r="B103" t="s">
        <v>180</v>
      </c>
      <c r="C103" t="s">
        <v>268</v>
      </c>
      <c r="D103" t="s">
        <v>269</v>
      </c>
      <c r="E103" s="1">
        <v>45045</v>
      </c>
      <c r="F103" s="1">
        <v>45122</v>
      </c>
      <c r="G103" t="s">
        <v>28</v>
      </c>
      <c r="I103" t="s">
        <v>270</v>
      </c>
      <c r="J103" t="s">
        <v>64</v>
      </c>
      <c r="K103" t="str">
        <f t="shared" si="1"/>
        <v>p1</v>
      </c>
      <c r="L103" t="s">
        <v>39</v>
      </c>
      <c r="M103" s="1">
        <v>45053</v>
      </c>
      <c r="N103" s="1">
        <v>45065</v>
      </c>
      <c r="O103" s="1">
        <v>45080</v>
      </c>
      <c r="P103" s="1">
        <v>45084</v>
      </c>
      <c r="Q103" t="s">
        <v>23</v>
      </c>
      <c r="R103" s="1">
        <v>45071</v>
      </c>
    </row>
    <row r="104" spans="1:18" x14ac:dyDescent="0.45">
      <c r="A104">
        <v>48398</v>
      </c>
      <c r="B104" t="s">
        <v>176</v>
      </c>
      <c r="C104" t="s">
        <v>271</v>
      </c>
      <c r="D104" t="s">
        <v>272</v>
      </c>
      <c r="E104" s="1">
        <v>45026</v>
      </c>
      <c r="F104" s="1">
        <v>45147</v>
      </c>
      <c r="G104" t="s">
        <v>58</v>
      </c>
      <c r="I104" t="s">
        <v>273</v>
      </c>
      <c r="J104" t="s">
        <v>25</v>
      </c>
      <c r="K104" t="str">
        <f t="shared" si="1"/>
        <v>p1</v>
      </c>
      <c r="L104" t="s">
        <v>23</v>
      </c>
      <c r="M104" t="s">
        <v>23</v>
      </c>
      <c r="N104" t="s">
        <v>23</v>
      </c>
      <c r="O104" s="1">
        <v>45094</v>
      </c>
      <c r="P104" s="1">
        <v>45102</v>
      </c>
      <c r="Q104" t="s">
        <v>23</v>
      </c>
      <c r="R104" t="s">
        <v>23</v>
      </c>
    </row>
    <row r="105" spans="1:18" x14ac:dyDescent="0.45">
      <c r="A105">
        <v>48398</v>
      </c>
      <c r="B105" t="s">
        <v>176</v>
      </c>
      <c r="C105" t="s">
        <v>271</v>
      </c>
      <c r="D105" t="s">
        <v>272</v>
      </c>
      <c r="E105" s="1">
        <v>45026</v>
      </c>
      <c r="F105" s="1">
        <v>45147</v>
      </c>
      <c r="G105" t="s">
        <v>58</v>
      </c>
      <c r="I105" t="s">
        <v>274</v>
      </c>
      <c r="J105" t="s">
        <v>25</v>
      </c>
      <c r="K105" t="str">
        <f t="shared" si="1"/>
        <v>p2</v>
      </c>
      <c r="L105" t="s">
        <v>23</v>
      </c>
      <c r="M105" t="s">
        <v>23</v>
      </c>
      <c r="N105" t="s">
        <v>23</v>
      </c>
      <c r="O105" s="1">
        <v>45134</v>
      </c>
      <c r="P105" s="1">
        <v>45135</v>
      </c>
      <c r="Q105" t="s">
        <v>23</v>
      </c>
      <c r="R105" t="s">
        <v>23</v>
      </c>
    </row>
    <row r="106" spans="1:18" x14ac:dyDescent="0.45">
      <c r="A106">
        <v>48428</v>
      </c>
      <c r="B106" t="s">
        <v>213</v>
      </c>
      <c r="C106" t="s">
        <v>275</v>
      </c>
      <c r="D106" t="s">
        <v>275</v>
      </c>
      <c r="E106" s="1">
        <v>45023</v>
      </c>
      <c r="F106" s="1">
        <v>45114</v>
      </c>
      <c r="G106" t="s">
        <v>28</v>
      </c>
      <c r="I106" t="s">
        <v>276</v>
      </c>
      <c r="J106" t="s">
        <v>22</v>
      </c>
      <c r="K106" t="str">
        <f t="shared" si="1"/>
        <v>p1</v>
      </c>
      <c r="L106" t="s">
        <v>39</v>
      </c>
      <c r="M106" s="1">
        <v>45030</v>
      </c>
      <c r="N106" s="1">
        <v>45042</v>
      </c>
      <c r="O106" t="s">
        <v>23</v>
      </c>
      <c r="P106" t="s">
        <v>23</v>
      </c>
      <c r="Q106" s="1">
        <v>45046</v>
      </c>
      <c r="R106" t="s">
        <v>23</v>
      </c>
    </row>
    <row r="107" spans="1:18" x14ac:dyDescent="0.45">
      <c r="A107">
        <v>48434</v>
      </c>
      <c r="B107" t="s">
        <v>93</v>
      </c>
      <c r="C107" t="s">
        <v>277</v>
      </c>
      <c r="D107" t="s">
        <v>277</v>
      </c>
      <c r="E107" s="1">
        <v>45031</v>
      </c>
      <c r="F107" s="1">
        <v>45068</v>
      </c>
      <c r="G107" t="s">
        <v>70</v>
      </c>
      <c r="I107" t="s">
        <v>278</v>
      </c>
      <c r="J107" t="s">
        <v>25</v>
      </c>
      <c r="K107" t="str">
        <f t="shared" si="1"/>
        <v>p1</v>
      </c>
      <c r="L107" t="s">
        <v>39</v>
      </c>
      <c r="M107" s="1">
        <v>45030</v>
      </c>
      <c r="N107" s="1">
        <v>45042</v>
      </c>
      <c r="O107" s="1">
        <v>45058</v>
      </c>
      <c r="P107" s="1">
        <v>45065</v>
      </c>
      <c r="Q107" t="s">
        <v>23</v>
      </c>
      <c r="R107" t="s">
        <v>23</v>
      </c>
    </row>
    <row r="108" spans="1:18" x14ac:dyDescent="0.45">
      <c r="A108">
        <v>48436</v>
      </c>
      <c r="B108" t="s">
        <v>44</v>
      </c>
      <c r="C108" t="s">
        <v>279</v>
      </c>
      <c r="D108" t="s">
        <v>279</v>
      </c>
      <c r="E108" s="1">
        <v>45051</v>
      </c>
      <c r="F108" s="1">
        <v>45124</v>
      </c>
      <c r="G108" t="s">
        <v>28</v>
      </c>
      <c r="I108" t="s">
        <v>280</v>
      </c>
      <c r="J108" t="s">
        <v>25</v>
      </c>
      <c r="K108" t="str">
        <f t="shared" si="1"/>
        <v>p1</v>
      </c>
      <c r="L108" s="1">
        <v>45057</v>
      </c>
      <c r="M108" s="1">
        <v>45065</v>
      </c>
      <c r="N108" s="1">
        <v>45077</v>
      </c>
      <c r="O108" s="1">
        <v>45090</v>
      </c>
      <c r="P108" s="1">
        <v>45105</v>
      </c>
      <c r="Q108" t="s">
        <v>23</v>
      </c>
      <c r="R108" t="s">
        <v>23</v>
      </c>
    </row>
    <row r="109" spans="1:18" x14ac:dyDescent="0.45">
      <c r="A109">
        <v>48437</v>
      </c>
      <c r="B109" t="s">
        <v>93</v>
      </c>
      <c r="C109" t="s">
        <v>281</v>
      </c>
      <c r="D109" t="s">
        <v>281</v>
      </c>
      <c r="E109" s="1">
        <v>45037</v>
      </c>
      <c r="F109" s="1">
        <v>45115</v>
      </c>
      <c r="G109" t="s">
        <v>58</v>
      </c>
      <c r="I109" t="s">
        <v>282</v>
      </c>
      <c r="J109" t="s">
        <v>25</v>
      </c>
      <c r="K109" t="str">
        <f t="shared" si="1"/>
        <v>p1</v>
      </c>
      <c r="L109" t="s">
        <v>39</v>
      </c>
      <c r="M109" s="1">
        <v>45040</v>
      </c>
      <c r="N109" s="1">
        <v>45052</v>
      </c>
      <c r="O109" s="1">
        <v>45061</v>
      </c>
      <c r="P109" s="1">
        <v>45071</v>
      </c>
      <c r="Q109" t="s">
        <v>23</v>
      </c>
      <c r="R109" t="s">
        <v>23</v>
      </c>
    </row>
    <row r="110" spans="1:18" x14ac:dyDescent="0.45">
      <c r="A110">
        <v>48437</v>
      </c>
      <c r="B110" t="s">
        <v>93</v>
      </c>
      <c r="C110" t="s">
        <v>281</v>
      </c>
      <c r="D110" t="s">
        <v>281</v>
      </c>
      <c r="E110" s="1">
        <v>45037</v>
      </c>
      <c r="F110" s="1">
        <v>45115</v>
      </c>
      <c r="G110" t="s">
        <v>58</v>
      </c>
      <c r="I110" t="s">
        <v>283</v>
      </c>
      <c r="J110" t="s">
        <v>25</v>
      </c>
      <c r="K110" t="str">
        <f t="shared" si="1"/>
        <v>p2</v>
      </c>
      <c r="L110" s="1">
        <v>45073</v>
      </c>
      <c r="M110" s="1">
        <v>45080</v>
      </c>
      <c r="N110" s="1">
        <v>45092</v>
      </c>
      <c r="O110" s="1">
        <v>45099</v>
      </c>
      <c r="P110" t="s">
        <v>51</v>
      </c>
      <c r="Q110" t="s">
        <v>23</v>
      </c>
      <c r="R110" t="s">
        <v>23</v>
      </c>
    </row>
    <row r="111" spans="1:18" x14ac:dyDescent="0.45">
      <c r="A111">
        <v>48438</v>
      </c>
      <c r="B111" t="s">
        <v>52</v>
      </c>
      <c r="C111" t="s">
        <v>284</v>
      </c>
      <c r="D111" t="s">
        <v>285</v>
      </c>
      <c r="E111" s="1">
        <v>45034</v>
      </c>
      <c r="F111" s="1">
        <v>45052</v>
      </c>
      <c r="G111" t="s">
        <v>166</v>
      </c>
      <c r="I111" t="s">
        <v>286</v>
      </c>
      <c r="J111" t="s">
        <v>166</v>
      </c>
      <c r="K111" t="str">
        <f t="shared" si="1"/>
        <v>p1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</row>
    <row r="112" spans="1:18" x14ac:dyDescent="0.45">
      <c r="A112">
        <v>48439</v>
      </c>
      <c r="B112" t="s">
        <v>52</v>
      </c>
      <c r="C112" t="s">
        <v>287</v>
      </c>
      <c r="D112" t="s">
        <v>288</v>
      </c>
      <c r="E112" s="1">
        <v>45052</v>
      </c>
      <c r="F112" s="1">
        <v>45106</v>
      </c>
      <c r="G112" t="s">
        <v>58</v>
      </c>
      <c r="I112" t="s">
        <v>289</v>
      </c>
      <c r="J112" t="s">
        <v>25</v>
      </c>
      <c r="K112" t="str">
        <f t="shared" si="1"/>
        <v>p1</v>
      </c>
      <c r="L112" t="s">
        <v>39</v>
      </c>
      <c r="M112" t="s">
        <v>39</v>
      </c>
      <c r="N112" t="s">
        <v>39</v>
      </c>
      <c r="O112" t="s">
        <v>39</v>
      </c>
      <c r="P112" s="1">
        <v>45056</v>
      </c>
      <c r="Q112" t="s">
        <v>23</v>
      </c>
      <c r="R112" t="s">
        <v>23</v>
      </c>
    </row>
    <row r="113" spans="1:18" x14ac:dyDescent="0.45">
      <c r="A113">
        <v>48439</v>
      </c>
      <c r="B113" t="s">
        <v>52</v>
      </c>
      <c r="C113" t="s">
        <v>287</v>
      </c>
      <c r="D113" t="s">
        <v>288</v>
      </c>
      <c r="E113" s="1">
        <v>45052</v>
      </c>
      <c r="F113" s="1">
        <v>45106</v>
      </c>
      <c r="G113" t="s">
        <v>58</v>
      </c>
      <c r="I113" t="s">
        <v>290</v>
      </c>
      <c r="J113" t="s">
        <v>25</v>
      </c>
      <c r="K113" t="str">
        <f t="shared" si="1"/>
        <v>p2</v>
      </c>
      <c r="L113" t="s">
        <v>39</v>
      </c>
      <c r="M113" s="1">
        <v>45056</v>
      </c>
      <c r="N113" s="1">
        <v>45068</v>
      </c>
      <c r="O113" s="1">
        <v>45079</v>
      </c>
      <c r="P113" s="1">
        <v>45082</v>
      </c>
      <c r="Q113" t="s">
        <v>23</v>
      </c>
      <c r="R113" t="s">
        <v>23</v>
      </c>
    </row>
    <row r="114" spans="1:18" x14ac:dyDescent="0.45">
      <c r="A114">
        <v>48440</v>
      </c>
      <c r="B114" t="s">
        <v>210</v>
      </c>
      <c r="C114" t="s">
        <v>291</v>
      </c>
      <c r="D114" t="s">
        <v>291</v>
      </c>
      <c r="E114" s="1">
        <v>45021</v>
      </c>
      <c r="F114" s="1">
        <v>45135</v>
      </c>
      <c r="G114" t="s">
        <v>32</v>
      </c>
      <c r="I114" t="s">
        <v>292</v>
      </c>
      <c r="J114" t="s">
        <v>32</v>
      </c>
      <c r="K114" t="str">
        <f t="shared" si="1"/>
        <v>p1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</row>
    <row r="115" spans="1:18" x14ac:dyDescent="0.45">
      <c r="A115">
        <v>48444</v>
      </c>
      <c r="B115" t="s">
        <v>213</v>
      </c>
      <c r="C115" t="s">
        <v>293</v>
      </c>
      <c r="D115" t="s">
        <v>293</v>
      </c>
      <c r="E115" s="1">
        <v>45009</v>
      </c>
      <c r="F115" s="1">
        <v>45138</v>
      </c>
      <c r="G115" t="s">
        <v>19</v>
      </c>
      <c r="H115" t="s">
        <v>169</v>
      </c>
      <c r="I115" t="s">
        <v>294</v>
      </c>
      <c r="J115" t="s">
        <v>25</v>
      </c>
      <c r="K115" t="str">
        <f t="shared" si="1"/>
        <v>p1</v>
      </c>
      <c r="L115" s="1">
        <v>45023</v>
      </c>
      <c r="M115" s="1">
        <v>45032</v>
      </c>
      <c r="N115" s="1">
        <v>45044</v>
      </c>
      <c r="O115" s="1">
        <v>45051</v>
      </c>
      <c r="P115" s="1">
        <v>45090</v>
      </c>
      <c r="Q115" t="s">
        <v>23</v>
      </c>
      <c r="R115" t="s">
        <v>23</v>
      </c>
    </row>
    <row r="116" spans="1:18" x14ac:dyDescent="0.45">
      <c r="A116">
        <v>48444</v>
      </c>
      <c r="B116" t="s">
        <v>213</v>
      </c>
      <c r="C116" t="s">
        <v>293</v>
      </c>
      <c r="D116" t="s">
        <v>293</v>
      </c>
      <c r="E116" s="1">
        <v>45009</v>
      </c>
      <c r="F116" s="1">
        <v>45138</v>
      </c>
      <c r="G116" t="s">
        <v>19</v>
      </c>
      <c r="H116" t="s">
        <v>169</v>
      </c>
      <c r="I116" t="s">
        <v>295</v>
      </c>
      <c r="J116" t="s">
        <v>25</v>
      </c>
      <c r="K116" t="str">
        <f t="shared" si="1"/>
        <v>p2</v>
      </c>
      <c r="L116" s="1">
        <v>45073</v>
      </c>
      <c r="M116" s="1">
        <v>45080</v>
      </c>
      <c r="N116" s="1">
        <v>45092</v>
      </c>
      <c r="O116" s="1">
        <v>45103</v>
      </c>
      <c r="P116" s="1">
        <v>45123</v>
      </c>
      <c r="Q116" t="s">
        <v>23</v>
      </c>
      <c r="R116" t="s">
        <v>23</v>
      </c>
    </row>
    <row r="117" spans="1:18" x14ac:dyDescent="0.45">
      <c r="A117">
        <v>48445</v>
      </c>
      <c r="B117" t="s">
        <v>180</v>
      </c>
      <c r="C117" t="s">
        <v>296</v>
      </c>
      <c r="D117" t="s">
        <v>297</v>
      </c>
      <c r="E117" s="1">
        <v>45045</v>
      </c>
      <c r="F117" s="1">
        <v>45122</v>
      </c>
      <c r="G117" t="s">
        <v>58</v>
      </c>
      <c r="I117" t="s">
        <v>298</v>
      </c>
      <c r="J117" t="s">
        <v>25</v>
      </c>
      <c r="K117" t="str">
        <f t="shared" si="1"/>
        <v>p1</v>
      </c>
      <c r="L117" t="s">
        <v>23</v>
      </c>
      <c r="M117" s="1">
        <v>45049</v>
      </c>
      <c r="N117" s="1">
        <v>45061</v>
      </c>
      <c r="O117" s="1">
        <v>45073</v>
      </c>
      <c r="P117" s="1">
        <v>45074</v>
      </c>
      <c r="Q117" t="s">
        <v>23</v>
      </c>
      <c r="R117" t="s">
        <v>23</v>
      </c>
    </row>
    <row r="118" spans="1:18" x14ac:dyDescent="0.45">
      <c r="A118">
        <v>48445</v>
      </c>
      <c r="B118" t="s">
        <v>180</v>
      </c>
      <c r="C118" t="s">
        <v>296</v>
      </c>
      <c r="D118" t="s">
        <v>297</v>
      </c>
      <c r="E118" s="1">
        <v>45045</v>
      </c>
      <c r="F118" s="1">
        <v>45122</v>
      </c>
      <c r="G118" t="s">
        <v>58</v>
      </c>
      <c r="I118" t="s">
        <v>299</v>
      </c>
      <c r="J118" t="s">
        <v>25</v>
      </c>
      <c r="K118" t="str">
        <f t="shared" si="1"/>
        <v>p2</v>
      </c>
      <c r="L118" s="1">
        <v>45080</v>
      </c>
      <c r="M118" s="1">
        <v>45085</v>
      </c>
      <c r="N118" s="1">
        <v>45097</v>
      </c>
      <c r="O118" s="1">
        <v>45113</v>
      </c>
      <c r="P118" s="1">
        <v>45118</v>
      </c>
      <c r="Q118" t="s">
        <v>23</v>
      </c>
      <c r="R118" t="s">
        <v>23</v>
      </c>
    </row>
    <row r="119" spans="1:18" x14ac:dyDescent="0.45">
      <c r="A119">
        <v>48446</v>
      </c>
      <c r="B119" t="s">
        <v>300</v>
      </c>
      <c r="C119" t="s">
        <v>301</v>
      </c>
      <c r="D119" t="s">
        <v>301</v>
      </c>
      <c r="E119" s="1">
        <v>45058</v>
      </c>
      <c r="F119" s="1">
        <v>45093</v>
      </c>
      <c r="G119" t="s">
        <v>58</v>
      </c>
      <c r="I119" t="s">
        <v>302</v>
      </c>
      <c r="J119" t="s">
        <v>25</v>
      </c>
      <c r="K119" t="str">
        <f t="shared" si="1"/>
        <v>p1</v>
      </c>
      <c r="L119" t="s">
        <v>39</v>
      </c>
      <c r="M119" t="s">
        <v>39</v>
      </c>
      <c r="N119" t="s">
        <v>39</v>
      </c>
      <c r="O119" t="s">
        <v>39</v>
      </c>
      <c r="P119" s="1">
        <v>45074</v>
      </c>
      <c r="Q119" t="s">
        <v>23</v>
      </c>
      <c r="R119" t="s">
        <v>23</v>
      </c>
    </row>
    <row r="120" spans="1:18" x14ac:dyDescent="0.45">
      <c r="A120">
        <v>48446</v>
      </c>
      <c r="B120" t="s">
        <v>300</v>
      </c>
      <c r="C120" t="s">
        <v>301</v>
      </c>
      <c r="D120" t="s">
        <v>301</v>
      </c>
      <c r="E120" s="1">
        <v>45058</v>
      </c>
      <c r="F120" s="1">
        <v>45093</v>
      </c>
      <c r="G120" t="s">
        <v>58</v>
      </c>
      <c r="I120" t="s">
        <v>303</v>
      </c>
      <c r="J120" t="s">
        <v>25</v>
      </c>
      <c r="K120" t="str">
        <f t="shared" si="1"/>
        <v>p2</v>
      </c>
      <c r="L120" t="s">
        <v>39</v>
      </c>
      <c r="M120" s="1">
        <v>45059</v>
      </c>
      <c r="N120" s="1">
        <v>45071</v>
      </c>
      <c r="O120" s="1">
        <v>45081</v>
      </c>
      <c r="P120" t="s">
        <v>51</v>
      </c>
      <c r="Q120" t="s">
        <v>23</v>
      </c>
      <c r="R120" t="s">
        <v>23</v>
      </c>
    </row>
    <row r="121" spans="1:18" x14ac:dyDescent="0.45">
      <c r="A121">
        <v>48447</v>
      </c>
      <c r="B121" t="s">
        <v>300</v>
      </c>
      <c r="C121" t="s">
        <v>304</v>
      </c>
      <c r="D121" t="s">
        <v>304</v>
      </c>
      <c r="E121" s="1">
        <v>45093</v>
      </c>
      <c r="F121" s="1">
        <v>45131</v>
      </c>
      <c r="G121" t="s">
        <v>28</v>
      </c>
      <c r="I121" t="s">
        <v>305</v>
      </c>
      <c r="J121" t="s">
        <v>25</v>
      </c>
      <c r="K121" t="str">
        <f t="shared" si="1"/>
        <v>p1</v>
      </c>
      <c r="L121" t="s">
        <v>39</v>
      </c>
      <c r="M121" s="1">
        <v>45097</v>
      </c>
      <c r="N121" s="1">
        <v>45109</v>
      </c>
      <c r="O121" s="1">
        <v>45121</v>
      </c>
      <c r="P121" s="1">
        <v>45124</v>
      </c>
      <c r="Q121" t="s">
        <v>23</v>
      </c>
      <c r="R121" t="s">
        <v>23</v>
      </c>
    </row>
    <row r="122" spans="1:18" x14ac:dyDescent="0.45">
      <c r="A122">
        <v>48448</v>
      </c>
      <c r="B122" t="s">
        <v>93</v>
      </c>
      <c r="C122" t="s">
        <v>306</v>
      </c>
      <c r="D122" t="s">
        <v>306</v>
      </c>
      <c r="E122" s="1">
        <v>45016</v>
      </c>
      <c r="F122" s="1">
        <v>45079</v>
      </c>
      <c r="G122" t="s">
        <v>28</v>
      </c>
      <c r="I122" t="s">
        <v>307</v>
      </c>
      <c r="J122" t="s">
        <v>25</v>
      </c>
      <c r="K122" t="str">
        <f t="shared" si="1"/>
        <v>p1</v>
      </c>
      <c r="L122" s="1">
        <v>45023</v>
      </c>
      <c r="M122" s="1">
        <v>45039</v>
      </c>
      <c r="N122" s="1">
        <v>45051</v>
      </c>
      <c r="O122" s="1">
        <v>45061</v>
      </c>
      <c r="P122" s="1">
        <v>45076</v>
      </c>
      <c r="Q122" t="s">
        <v>23</v>
      </c>
      <c r="R122" t="s">
        <v>23</v>
      </c>
    </row>
    <row r="123" spans="1:18" x14ac:dyDescent="0.45">
      <c r="A123">
        <v>48454</v>
      </c>
      <c r="B123" t="s">
        <v>78</v>
      </c>
      <c r="C123" t="s">
        <v>308</v>
      </c>
      <c r="D123" t="s">
        <v>308</v>
      </c>
      <c r="E123" s="1">
        <v>45062</v>
      </c>
      <c r="F123" s="1">
        <v>45125</v>
      </c>
      <c r="G123" t="s">
        <v>166</v>
      </c>
      <c r="I123" t="s">
        <v>309</v>
      </c>
      <c r="J123" t="s">
        <v>166</v>
      </c>
      <c r="K123" t="str">
        <f t="shared" si="1"/>
        <v>p1</v>
      </c>
      <c r="L123" t="s">
        <v>23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23</v>
      </c>
    </row>
    <row r="124" spans="1:18" x14ac:dyDescent="0.45">
      <c r="A124">
        <v>48455</v>
      </c>
      <c r="B124" t="s">
        <v>78</v>
      </c>
      <c r="C124" t="s">
        <v>310</v>
      </c>
      <c r="D124" t="s">
        <v>310</v>
      </c>
      <c r="E124" s="1">
        <v>45078</v>
      </c>
      <c r="F124" s="1">
        <v>45139</v>
      </c>
      <c r="G124" t="s">
        <v>28</v>
      </c>
      <c r="I124" t="s">
        <v>311</v>
      </c>
      <c r="J124" t="s">
        <v>25</v>
      </c>
      <c r="K124" t="str">
        <f t="shared" si="1"/>
        <v>p1</v>
      </c>
      <c r="L124" s="1">
        <v>45096</v>
      </c>
      <c r="M124" s="1">
        <v>45111</v>
      </c>
      <c r="N124" s="1">
        <v>45123</v>
      </c>
      <c r="O124" s="1">
        <v>45134</v>
      </c>
      <c r="P124" s="1">
        <v>45136</v>
      </c>
      <c r="Q124" t="s">
        <v>23</v>
      </c>
      <c r="R124" t="s">
        <v>23</v>
      </c>
    </row>
    <row r="125" spans="1:18" x14ac:dyDescent="0.45">
      <c r="A125">
        <v>48456</v>
      </c>
      <c r="B125" t="s">
        <v>93</v>
      </c>
      <c r="C125" t="s">
        <v>312</v>
      </c>
      <c r="D125" t="s">
        <v>312</v>
      </c>
      <c r="E125" s="1">
        <v>45034</v>
      </c>
      <c r="F125" s="1">
        <v>45091</v>
      </c>
      <c r="G125" t="s">
        <v>32</v>
      </c>
      <c r="I125" t="s">
        <v>313</v>
      </c>
      <c r="J125" t="s">
        <v>32</v>
      </c>
      <c r="K125" t="str">
        <f t="shared" si="1"/>
        <v>p1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</row>
    <row r="126" spans="1:18" x14ac:dyDescent="0.45">
      <c r="A126">
        <v>48457</v>
      </c>
      <c r="B126" t="s">
        <v>36</v>
      </c>
      <c r="C126" t="s">
        <v>314</v>
      </c>
      <c r="D126" t="s">
        <v>314</v>
      </c>
      <c r="E126" s="1">
        <v>45055</v>
      </c>
      <c r="F126" s="1">
        <v>45160</v>
      </c>
      <c r="G126" t="s">
        <v>28</v>
      </c>
      <c r="I126" t="s">
        <v>315</v>
      </c>
      <c r="J126" t="s">
        <v>64</v>
      </c>
      <c r="K126" t="str">
        <f t="shared" si="1"/>
        <v>p1</v>
      </c>
      <c r="L126" t="s">
        <v>39</v>
      </c>
      <c r="M126" t="s">
        <v>39</v>
      </c>
      <c r="N126" t="s">
        <v>39</v>
      </c>
      <c r="O126" s="1">
        <v>45070</v>
      </c>
      <c r="P126" s="1">
        <v>45088</v>
      </c>
      <c r="Q126" t="s">
        <v>23</v>
      </c>
      <c r="R126" s="1">
        <v>45059</v>
      </c>
    </row>
    <row r="127" spans="1:18" x14ac:dyDescent="0.45">
      <c r="A127">
        <v>48459</v>
      </c>
      <c r="B127" t="s">
        <v>93</v>
      </c>
      <c r="C127" t="s">
        <v>316</v>
      </c>
      <c r="D127" t="s">
        <v>316</v>
      </c>
      <c r="E127" s="1">
        <v>45041</v>
      </c>
      <c r="F127" s="1">
        <v>45095</v>
      </c>
      <c r="G127" t="s">
        <v>28</v>
      </c>
      <c r="I127" t="s">
        <v>317</v>
      </c>
      <c r="J127" t="s">
        <v>25</v>
      </c>
      <c r="K127" t="str">
        <f t="shared" si="1"/>
        <v>p1</v>
      </c>
      <c r="L127" t="s">
        <v>39</v>
      </c>
      <c r="M127" s="1">
        <v>45045</v>
      </c>
      <c r="N127" s="1">
        <v>45057</v>
      </c>
      <c r="O127" s="1">
        <v>45067</v>
      </c>
      <c r="P127" s="1">
        <v>45076</v>
      </c>
      <c r="Q127" t="s">
        <v>23</v>
      </c>
      <c r="R127" t="s">
        <v>23</v>
      </c>
    </row>
    <row r="128" spans="1:18" x14ac:dyDescent="0.45">
      <c r="A128">
        <v>48462</v>
      </c>
      <c r="B128" t="s">
        <v>17</v>
      </c>
      <c r="C128" t="s">
        <v>318</v>
      </c>
      <c r="D128" t="s">
        <v>319</v>
      </c>
      <c r="E128" s="1">
        <v>44997</v>
      </c>
      <c r="F128" s="1">
        <v>45145</v>
      </c>
      <c r="G128" t="s">
        <v>28</v>
      </c>
      <c r="I128" t="s">
        <v>320</v>
      </c>
      <c r="J128" t="s">
        <v>22</v>
      </c>
      <c r="K128" t="str">
        <f t="shared" si="1"/>
        <v>p1</v>
      </c>
      <c r="L128" s="1">
        <v>45038</v>
      </c>
      <c r="M128" s="1">
        <v>45052</v>
      </c>
      <c r="N128" t="s">
        <v>23</v>
      </c>
      <c r="O128" t="s">
        <v>23</v>
      </c>
      <c r="P128" t="s">
        <v>23</v>
      </c>
      <c r="Q128" s="1">
        <v>45056</v>
      </c>
      <c r="R128" t="s">
        <v>23</v>
      </c>
    </row>
    <row r="129" spans="1:18" x14ac:dyDescent="0.45">
      <c r="A129">
        <v>48463</v>
      </c>
      <c r="B129" t="s">
        <v>93</v>
      </c>
      <c r="C129" t="s">
        <v>321</v>
      </c>
      <c r="D129" t="s">
        <v>321</v>
      </c>
      <c r="E129" s="1">
        <v>45034</v>
      </c>
      <c r="F129" s="1">
        <v>45115</v>
      </c>
      <c r="G129" t="s">
        <v>58</v>
      </c>
      <c r="I129" t="s">
        <v>322</v>
      </c>
      <c r="J129" t="s">
        <v>25</v>
      </c>
      <c r="K129" t="str">
        <f t="shared" si="1"/>
        <v>p1</v>
      </c>
      <c r="L129" s="1">
        <v>45066</v>
      </c>
      <c r="M129" s="1">
        <v>45071</v>
      </c>
      <c r="N129" s="1">
        <v>45083</v>
      </c>
      <c r="O129" s="1">
        <v>45090</v>
      </c>
      <c r="P129" s="1">
        <v>45113</v>
      </c>
      <c r="Q129" t="s">
        <v>23</v>
      </c>
      <c r="R129" t="s">
        <v>23</v>
      </c>
    </row>
    <row r="130" spans="1:18" x14ac:dyDescent="0.45">
      <c r="A130">
        <v>48463</v>
      </c>
      <c r="B130" t="s">
        <v>93</v>
      </c>
      <c r="C130" t="s">
        <v>321</v>
      </c>
      <c r="D130" t="s">
        <v>321</v>
      </c>
      <c r="E130" s="1">
        <v>45034</v>
      </c>
      <c r="F130" s="1">
        <v>45115</v>
      </c>
      <c r="G130" t="s">
        <v>58</v>
      </c>
      <c r="I130" t="s">
        <v>323</v>
      </c>
      <c r="J130" t="s">
        <v>42</v>
      </c>
      <c r="K130" t="str">
        <f t="shared" si="1"/>
        <v>p2</v>
      </c>
      <c r="L130" s="1">
        <v>45101</v>
      </c>
      <c r="M130" s="1">
        <v>45106</v>
      </c>
      <c r="N130" t="s">
        <v>51</v>
      </c>
      <c r="O130" t="s">
        <v>51</v>
      </c>
      <c r="P130" t="s">
        <v>51</v>
      </c>
      <c r="Q130" t="s">
        <v>23</v>
      </c>
      <c r="R130" t="s">
        <v>23</v>
      </c>
    </row>
    <row r="131" spans="1:18" x14ac:dyDescent="0.45">
      <c r="A131">
        <v>48464</v>
      </c>
      <c r="B131" t="s">
        <v>300</v>
      </c>
      <c r="C131" t="s">
        <v>324</v>
      </c>
      <c r="D131" t="s">
        <v>324</v>
      </c>
      <c r="E131" s="1">
        <v>45072</v>
      </c>
      <c r="F131" s="1">
        <v>45119</v>
      </c>
      <c r="G131" t="s">
        <v>28</v>
      </c>
      <c r="I131" t="s">
        <v>325</v>
      </c>
      <c r="J131" t="s">
        <v>64</v>
      </c>
      <c r="K131" t="str">
        <f t="shared" ref="K131:K194" si="2">RIGHT(I131,2)</f>
        <v>p1</v>
      </c>
      <c r="L131" t="s">
        <v>39</v>
      </c>
      <c r="M131" s="1">
        <v>45078</v>
      </c>
      <c r="N131" s="1">
        <v>45090</v>
      </c>
      <c r="O131" s="1">
        <v>45101</v>
      </c>
      <c r="P131" s="1">
        <v>45111</v>
      </c>
      <c r="Q131" t="s">
        <v>23</v>
      </c>
      <c r="R131" s="1">
        <v>45082</v>
      </c>
    </row>
    <row r="132" spans="1:18" x14ac:dyDescent="0.45">
      <c r="A132">
        <v>48465</v>
      </c>
      <c r="B132" t="s">
        <v>93</v>
      </c>
      <c r="C132" t="s">
        <v>326</v>
      </c>
      <c r="D132" t="s">
        <v>326</v>
      </c>
      <c r="E132" s="1">
        <v>45055</v>
      </c>
      <c r="F132" s="1">
        <v>45095</v>
      </c>
      <c r="G132" t="s">
        <v>28</v>
      </c>
      <c r="I132" t="s">
        <v>327</v>
      </c>
      <c r="J132" t="s">
        <v>25</v>
      </c>
      <c r="K132" t="str">
        <f t="shared" si="2"/>
        <v>p1</v>
      </c>
      <c r="L132" t="s">
        <v>39</v>
      </c>
      <c r="M132" s="1">
        <v>45050</v>
      </c>
      <c r="N132" s="1">
        <v>45062</v>
      </c>
      <c r="O132" s="1">
        <v>45072</v>
      </c>
      <c r="P132" s="1">
        <v>45077</v>
      </c>
      <c r="Q132" t="s">
        <v>23</v>
      </c>
      <c r="R132" t="s">
        <v>23</v>
      </c>
    </row>
    <row r="133" spans="1:18" x14ac:dyDescent="0.45">
      <c r="A133">
        <v>48466</v>
      </c>
      <c r="B133" t="s">
        <v>96</v>
      </c>
      <c r="C133" t="s">
        <v>328</v>
      </c>
      <c r="D133" t="s">
        <v>328</v>
      </c>
      <c r="E133" s="1">
        <v>45011</v>
      </c>
      <c r="F133" s="1">
        <v>45136</v>
      </c>
      <c r="G133" t="s">
        <v>70</v>
      </c>
      <c r="I133" t="s">
        <v>329</v>
      </c>
      <c r="J133" t="s">
        <v>25</v>
      </c>
      <c r="K133" t="str">
        <f t="shared" si="2"/>
        <v>p1</v>
      </c>
      <c r="L133" t="s">
        <v>39</v>
      </c>
      <c r="M133" s="1">
        <v>45019</v>
      </c>
      <c r="N133" s="1">
        <v>45031</v>
      </c>
      <c r="O133" s="1">
        <v>45045</v>
      </c>
      <c r="P133" s="1">
        <v>45063</v>
      </c>
      <c r="Q133" t="s">
        <v>23</v>
      </c>
      <c r="R133" t="s">
        <v>23</v>
      </c>
    </row>
    <row r="134" spans="1:18" x14ac:dyDescent="0.45">
      <c r="A134">
        <v>48467</v>
      </c>
      <c r="B134" t="s">
        <v>142</v>
      </c>
      <c r="C134" t="s">
        <v>330</v>
      </c>
      <c r="D134" t="s">
        <v>330</v>
      </c>
      <c r="E134" s="1">
        <v>45071</v>
      </c>
      <c r="F134" s="1">
        <v>45149</v>
      </c>
      <c r="G134" t="s">
        <v>166</v>
      </c>
      <c r="I134" t="s">
        <v>331</v>
      </c>
      <c r="J134" t="s">
        <v>166</v>
      </c>
      <c r="K134" t="str">
        <f t="shared" si="2"/>
        <v>p1</v>
      </c>
      <c r="L134" t="s">
        <v>23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  <c r="R134" t="s">
        <v>23</v>
      </c>
    </row>
    <row r="135" spans="1:18" x14ac:dyDescent="0.45">
      <c r="A135">
        <v>48469</v>
      </c>
      <c r="B135" t="s">
        <v>159</v>
      </c>
      <c r="C135" t="s">
        <v>332</v>
      </c>
      <c r="D135" t="s">
        <v>332</v>
      </c>
      <c r="E135" s="1">
        <v>45023</v>
      </c>
      <c r="F135" s="1">
        <v>45132</v>
      </c>
      <c r="G135" t="s">
        <v>70</v>
      </c>
      <c r="I135" t="s">
        <v>333</v>
      </c>
      <c r="J135" t="s">
        <v>25</v>
      </c>
      <c r="K135" t="str">
        <f t="shared" si="2"/>
        <v>p1</v>
      </c>
      <c r="L135" t="s">
        <v>39</v>
      </c>
      <c r="M135" s="1">
        <v>45035</v>
      </c>
      <c r="N135" s="1">
        <v>45047</v>
      </c>
      <c r="O135" s="1">
        <v>45054</v>
      </c>
      <c r="P135" s="1">
        <v>45084</v>
      </c>
      <c r="Q135" t="s">
        <v>23</v>
      </c>
      <c r="R135" t="s">
        <v>23</v>
      </c>
    </row>
    <row r="136" spans="1:18" x14ac:dyDescent="0.45">
      <c r="A136">
        <v>48470</v>
      </c>
      <c r="B136" t="s">
        <v>142</v>
      </c>
      <c r="C136" t="s">
        <v>334</v>
      </c>
      <c r="D136" t="s">
        <v>335</v>
      </c>
      <c r="E136" s="1">
        <v>45049</v>
      </c>
      <c r="F136" s="1">
        <v>45149</v>
      </c>
      <c r="G136" t="s">
        <v>58</v>
      </c>
      <c r="I136" t="s">
        <v>336</v>
      </c>
      <c r="J136" t="s">
        <v>25</v>
      </c>
      <c r="K136" t="str">
        <f t="shared" si="2"/>
        <v>p1</v>
      </c>
      <c r="L136" s="1">
        <v>45066</v>
      </c>
      <c r="M136" s="1">
        <v>45073</v>
      </c>
      <c r="N136" s="1">
        <v>45085</v>
      </c>
      <c r="O136" s="1">
        <v>45097</v>
      </c>
      <c r="P136" s="1">
        <v>45110</v>
      </c>
      <c r="Q136" t="s">
        <v>23</v>
      </c>
      <c r="R136" t="s">
        <v>23</v>
      </c>
    </row>
    <row r="137" spans="1:18" x14ac:dyDescent="0.45">
      <c r="A137">
        <v>48470</v>
      </c>
      <c r="B137" t="s">
        <v>142</v>
      </c>
      <c r="C137" t="s">
        <v>334</v>
      </c>
      <c r="D137" t="s">
        <v>335</v>
      </c>
      <c r="E137" s="1">
        <v>45049</v>
      </c>
      <c r="F137" s="1">
        <v>45149</v>
      </c>
      <c r="G137" t="s">
        <v>58</v>
      </c>
      <c r="I137" t="s">
        <v>337</v>
      </c>
      <c r="J137" t="s">
        <v>25</v>
      </c>
      <c r="K137" t="str">
        <f t="shared" si="2"/>
        <v>p2</v>
      </c>
      <c r="L137" s="1">
        <v>45101</v>
      </c>
      <c r="M137" s="1">
        <v>45108</v>
      </c>
      <c r="N137" s="1">
        <v>45120</v>
      </c>
      <c r="O137" s="1">
        <v>45129</v>
      </c>
      <c r="P137" s="1">
        <v>45145</v>
      </c>
      <c r="Q137" t="s">
        <v>23</v>
      </c>
      <c r="R137" t="s">
        <v>23</v>
      </c>
    </row>
    <row r="138" spans="1:18" x14ac:dyDescent="0.45">
      <c r="A138">
        <v>48471</v>
      </c>
      <c r="B138" t="s">
        <v>159</v>
      </c>
      <c r="C138" t="s">
        <v>338</v>
      </c>
      <c r="D138" t="s">
        <v>338</v>
      </c>
      <c r="E138" s="1">
        <v>45023</v>
      </c>
      <c r="F138" s="1">
        <v>45132</v>
      </c>
      <c r="G138" t="s">
        <v>70</v>
      </c>
      <c r="I138" t="s">
        <v>339</v>
      </c>
      <c r="J138" t="s">
        <v>25</v>
      </c>
      <c r="K138" t="str">
        <f t="shared" si="2"/>
        <v>p1</v>
      </c>
      <c r="L138" t="s">
        <v>39</v>
      </c>
      <c r="M138" s="1">
        <v>45039</v>
      </c>
      <c r="N138" s="1">
        <v>45051</v>
      </c>
      <c r="O138" s="1">
        <v>45063</v>
      </c>
      <c r="P138" s="1">
        <v>45077</v>
      </c>
      <c r="Q138" t="s">
        <v>23</v>
      </c>
      <c r="R138" t="s">
        <v>23</v>
      </c>
    </row>
    <row r="139" spans="1:18" x14ac:dyDescent="0.45">
      <c r="A139">
        <v>48472</v>
      </c>
      <c r="B139" t="s">
        <v>78</v>
      </c>
      <c r="C139" t="s">
        <v>340</v>
      </c>
      <c r="D139" t="s">
        <v>340</v>
      </c>
      <c r="E139" s="1">
        <v>45076</v>
      </c>
      <c r="F139" s="1">
        <v>45132</v>
      </c>
      <c r="G139" t="s">
        <v>166</v>
      </c>
      <c r="I139" t="s">
        <v>341</v>
      </c>
      <c r="J139" t="s">
        <v>166</v>
      </c>
      <c r="K139" t="str">
        <f t="shared" si="2"/>
        <v>p1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23</v>
      </c>
    </row>
    <row r="140" spans="1:18" x14ac:dyDescent="0.45">
      <c r="A140">
        <v>48473</v>
      </c>
      <c r="B140" t="s">
        <v>93</v>
      </c>
      <c r="C140" t="s">
        <v>342</v>
      </c>
      <c r="D140" t="s">
        <v>343</v>
      </c>
      <c r="E140" s="1">
        <v>45070</v>
      </c>
      <c r="F140" s="1">
        <v>45112</v>
      </c>
      <c r="G140" t="s">
        <v>28</v>
      </c>
      <c r="I140" t="s">
        <v>344</v>
      </c>
      <c r="J140" t="s">
        <v>25</v>
      </c>
      <c r="K140" t="str">
        <f t="shared" si="2"/>
        <v>p1</v>
      </c>
      <c r="L140" s="1">
        <v>45072</v>
      </c>
      <c r="M140" s="1">
        <v>45078</v>
      </c>
      <c r="N140" s="1">
        <v>45090</v>
      </c>
      <c r="O140" s="1">
        <v>45097</v>
      </c>
      <c r="P140" s="1">
        <v>45106</v>
      </c>
      <c r="Q140" t="s">
        <v>23</v>
      </c>
      <c r="R140" t="s">
        <v>23</v>
      </c>
    </row>
    <row r="141" spans="1:18" x14ac:dyDescent="0.45">
      <c r="A141">
        <v>48474</v>
      </c>
      <c r="B141" t="s">
        <v>93</v>
      </c>
      <c r="C141" t="s">
        <v>345</v>
      </c>
      <c r="D141" t="s">
        <v>346</v>
      </c>
      <c r="E141" s="1">
        <v>45072</v>
      </c>
      <c r="F141" s="1">
        <v>45118</v>
      </c>
      <c r="G141" t="s">
        <v>28</v>
      </c>
      <c r="I141" t="s">
        <v>347</v>
      </c>
      <c r="J141" t="s">
        <v>25</v>
      </c>
      <c r="K141" t="str">
        <f t="shared" si="2"/>
        <v>p1</v>
      </c>
      <c r="L141" t="s">
        <v>39</v>
      </c>
      <c r="M141" s="1">
        <v>45076</v>
      </c>
      <c r="N141" s="1">
        <v>45088</v>
      </c>
      <c r="O141" s="1">
        <v>45102</v>
      </c>
      <c r="P141" s="1">
        <v>45106</v>
      </c>
      <c r="Q141" t="s">
        <v>23</v>
      </c>
      <c r="R141" t="s">
        <v>23</v>
      </c>
    </row>
    <row r="142" spans="1:18" x14ac:dyDescent="0.45">
      <c r="A142">
        <v>48475</v>
      </c>
      <c r="B142" t="s">
        <v>93</v>
      </c>
      <c r="C142" t="s">
        <v>348</v>
      </c>
      <c r="D142" t="s">
        <v>348</v>
      </c>
      <c r="E142" s="1">
        <v>45072</v>
      </c>
      <c r="F142" s="1">
        <v>45115</v>
      </c>
      <c r="G142" t="s">
        <v>28</v>
      </c>
      <c r="I142" t="s">
        <v>349</v>
      </c>
      <c r="J142" t="s">
        <v>25</v>
      </c>
      <c r="K142" t="str">
        <f t="shared" si="2"/>
        <v>p1</v>
      </c>
      <c r="L142" t="s">
        <v>39</v>
      </c>
      <c r="M142" s="1">
        <v>45072</v>
      </c>
      <c r="N142" s="1">
        <v>45084</v>
      </c>
      <c r="O142" s="1">
        <v>45094</v>
      </c>
      <c r="P142" s="1">
        <v>45107</v>
      </c>
      <c r="Q142" t="s">
        <v>23</v>
      </c>
      <c r="R142" t="s">
        <v>23</v>
      </c>
    </row>
    <row r="143" spans="1:18" x14ac:dyDescent="0.45">
      <c r="A143">
        <v>48476</v>
      </c>
      <c r="B143" t="s">
        <v>93</v>
      </c>
      <c r="C143" t="s">
        <v>350</v>
      </c>
      <c r="D143" t="s">
        <v>350</v>
      </c>
      <c r="E143" s="1">
        <v>45090</v>
      </c>
      <c r="F143" s="1">
        <v>45134</v>
      </c>
      <c r="G143" t="s">
        <v>28</v>
      </c>
      <c r="I143" t="s">
        <v>351</v>
      </c>
      <c r="J143" t="s">
        <v>25</v>
      </c>
      <c r="K143" t="str">
        <f t="shared" si="2"/>
        <v>p1</v>
      </c>
      <c r="L143" t="s">
        <v>39</v>
      </c>
      <c r="M143" s="1">
        <v>45093</v>
      </c>
      <c r="N143" s="1">
        <v>45105</v>
      </c>
      <c r="O143" s="1">
        <v>45114</v>
      </c>
      <c r="P143" s="1">
        <v>45130</v>
      </c>
      <c r="Q143" t="s">
        <v>23</v>
      </c>
      <c r="R143" t="s">
        <v>23</v>
      </c>
    </row>
    <row r="144" spans="1:18" x14ac:dyDescent="0.45">
      <c r="A144">
        <v>48477</v>
      </c>
      <c r="B144" t="s">
        <v>93</v>
      </c>
      <c r="C144" t="s">
        <v>352</v>
      </c>
      <c r="D144" t="s">
        <v>352</v>
      </c>
      <c r="E144" s="1">
        <v>45085</v>
      </c>
      <c r="F144" s="1">
        <v>45120</v>
      </c>
      <c r="G144" t="s">
        <v>28</v>
      </c>
      <c r="I144" t="s">
        <v>353</v>
      </c>
      <c r="J144" t="s">
        <v>25</v>
      </c>
      <c r="K144" t="str">
        <f t="shared" si="2"/>
        <v>p1</v>
      </c>
      <c r="L144" t="s">
        <v>39</v>
      </c>
      <c r="M144" s="1">
        <v>45083</v>
      </c>
      <c r="N144" s="1">
        <v>45095</v>
      </c>
      <c r="O144" s="1">
        <v>45105</v>
      </c>
      <c r="P144" s="1">
        <v>45119</v>
      </c>
      <c r="Q144" t="s">
        <v>23</v>
      </c>
      <c r="R144" t="s">
        <v>23</v>
      </c>
    </row>
    <row r="145" spans="1:18" x14ac:dyDescent="0.45">
      <c r="A145">
        <v>48478</v>
      </c>
      <c r="B145" t="s">
        <v>93</v>
      </c>
      <c r="C145" t="s">
        <v>354</v>
      </c>
      <c r="D145" t="s">
        <v>354</v>
      </c>
      <c r="E145" s="1">
        <v>45027</v>
      </c>
      <c r="F145" s="1">
        <v>45083</v>
      </c>
      <c r="G145" t="s">
        <v>166</v>
      </c>
      <c r="I145" t="s">
        <v>355</v>
      </c>
      <c r="J145" t="s">
        <v>166</v>
      </c>
      <c r="K145" t="str">
        <f t="shared" si="2"/>
        <v>p1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23</v>
      </c>
    </row>
    <row r="146" spans="1:18" x14ac:dyDescent="0.45">
      <c r="A146">
        <v>48490</v>
      </c>
      <c r="B146" t="s">
        <v>300</v>
      </c>
      <c r="C146" t="s">
        <v>356</v>
      </c>
      <c r="D146" t="s">
        <v>356</v>
      </c>
      <c r="E146" s="1">
        <v>45069</v>
      </c>
      <c r="F146" s="1">
        <v>45104</v>
      </c>
      <c r="G146" t="s">
        <v>28</v>
      </c>
      <c r="I146" t="s">
        <v>357</v>
      </c>
      <c r="J146" t="s">
        <v>22</v>
      </c>
      <c r="K146" t="str">
        <f t="shared" si="2"/>
        <v>p1</v>
      </c>
      <c r="L146" t="s">
        <v>39</v>
      </c>
      <c r="M146" s="1">
        <v>45064</v>
      </c>
      <c r="N146" s="1">
        <v>45076</v>
      </c>
      <c r="O146" t="s">
        <v>23</v>
      </c>
      <c r="P146" t="s">
        <v>23</v>
      </c>
      <c r="Q146" s="1">
        <v>45081</v>
      </c>
      <c r="R146" t="s">
        <v>23</v>
      </c>
    </row>
    <row r="147" spans="1:18" x14ac:dyDescent="0.45">
      <c r="A147">
        <v>48747</v>
      </c>
      <c r="B147" t="s">
        <v>93</v>
      </c>
      <c r="C147" t="s">
        <v>358</v>
      </c>
      <c r="D147" t="s">
        <v>358</v>
      </c>
      <c r="E147" s="1">
        <v>45035</v>
      </c>
      <c r="F147" s="1">
        <v>45095</v>
      </c>
      <c r="G147" t="s">
        <v>19</v>
      </c>
      <c r="H147" t="s">
        <v>86</v>
      </c>
      <c r="I147" t="s">
        <v>359</v>
      </c>
      <c r="J147" t="s">
        <v>25</v>
      </c>
      <c r="K147" t="str">
        <f t="shared" si="2"/>
        <v>p1</v>
      </c>
      <c r="L147" s="1">
        <v>45036</v>
      </c>
      <c r="M147" s="1">
        <v>45037</v>
      </c>
      <c r="N147" s="1">
        <v>45049</v>
      </c>
      <c r="O147" s="1">
        <v>45068</v>
      </c>
      <c r="P147" s="1">
        <v>45092</v>
      </c>
      <c r="Q147" t="s">
        <v>23</v>
      </c>
      <c r="R147" t="s">
        <v>23</v>
      </c>
    </row>
    <row r="148" spans="1:18" x14ac:dyDescent="0.45">
      <c r="A148">
        <v>48747</v>
      </c>
      <c r="B148" t="s">
        <v>93</v>
      </c>
      <c r="C148" t="s">
        <v>358</v>
      </c>
      <c r="D148" t="s">
        <v>358</v>
      </c>
      <c r="E148" s="1">
        <v>45035</v>
      </c>
      <c r="F148" s="1">
        <v>45095</v>
      </c>
      <c r="G148" t="s">
        <v>19</v>
      </c>
      <c r="H148" t="s">
        <v>86</v>
      </c>
      <c r="I148" t="s">
        <v>360</v>
      </c>
      <c r="J148" t="s">
        <v>25</v>
      </c>
      <c r="K148" t="str">
        <f t="shared" si="2"/>
        <v>p2</v>
      </c>
      <c r="L148" t="s">
        <v>23</v>
      </c>
      <c r="M148" s="1">
        <v>45050</v>
      </c>
      <c r="N148" s="1">
        <v>45062</v>
      </c>
      <c r="O148" t="s">
        <v>23</v>
      </c>
      <c r="P148" t="s">
        <v>23</v>
      </c>
      <c r="Q148" t="s">
        <v>23</v>
      </c>
      <c r="R148" t="s">
        <v>23</v>
      </c>
    </row>
    <row r="149" spans="1:18" x14ac:dyDescent="0.45">
      <c r="A149">
        <v>48747</v>
      </c>
      <c r="B149" t="s">
        <v>93</v>
      </c>
      <c r="C149" t="s">
        <v>358</v>
      </c>
      <c r="D149" t="s">
        <v>358</v>
      </c>
      <c r="E149" s="1">
        <v>45035</v>
      </c>
      <c r="F149" s="1">
        <v>45095</v>
      </c>
      <c r="G149" t="s">
        <v>19</v>
      </c>
      <c r="H149" t="s">
        <v>86</v>
      </c>
      <c r="I149" t="s">
        <v>361</v>
      </c>
      <c r="J149" t="s">
        <v>25</v>
      </c>
      <c r="K149" t="str">
        <f t="shared" si="2"/>
        <v>p3</v>
      </c>
      <c r="L149" t="s">
        <v>23</v>
      </c>
      <c r="M149" s="1">
        <v>45071</v>
      </c>
      <c r="N149" s="1">
        <v>45083</v>
      </c>
      <c r="O149" t="s">
        <v>23</v>
      </c>
      <c r="P149" t="s">
        <v>23</v>
      </c>
      <c r="Q149" t="s">
        <v>23</v>
      </c>
      <c r="R149" t="s">
        <v>23</v>
      </c>
    </row>
    <row r="150" spans="1:18" x14ac:dyDescent="0.45">
      <c r="A150">
        <v>48747</v>
      </c>
      <c r="B150" t="s">
        <v>93</v>
      </c>
      <c r="C150" t="s">
        <v>358</v>
      </c>
      <c r="D150" t="s">
        <v>358</v>
      </c>
      <c r="E150" s="1">
        <v>45035</v>
      </c>
      <c r="F150" s="1">
        <v>45095</v>
      </c>
      <c r="G150" t="s">
        <v>19</v>
      </c>
      <c r="H150" t="s">
        <v>86</v>
      </c>
      <c r="I150" t="s">
        <v>362</v>
      </c>
      <c r="J150" t="s">
        <v>42</v>
      </c>
      <c r="K150" t="str">
        <f t="shared" si="2"/>
        <v>p4</v>
      </c>
      <c r="L150" t="s">
        <v>23</v>
      </c>
      <c r="M150" s="1">
        <v>45078</v>
      </c>
      <c r="N150" s="1">
        <v>45090</v>
      </c>
      <c r="O150" t="s">
        <v>23</v>
      </c>
      <c r="P150" t="s">
        <v>23</v>
      </c>
      <c r="Q150" t="s">
        <v>23</v>
      </c>
      <c r="R150" t="s">
        <v>23</v>
      </c>
    </row>
    <row r="151" spans="1:18" x14ac:dyDescent="0.45">
      <c r="A151">
        <v>48764</v>
      </c>
      <c r="B151" t="s">
        <v>115</v>
      </c>
      <c r="C151" t="s">
        <v>363</v>
      </c>
      <c r="D151" t="s">
        <v>364</v>
      </c>
      <c r="E151" s="1">
        <v>45012</v>
      </c>
      <c r="F151" s="1">
        <v>45142</v>
      </c>
      <c r="G151" t="s">
        <v>28</v>
      </c>
      <c r="I151" t="s">
        <v>365</v>
      </c>
      <c r="J151" t="s">
        <v>25</v>
      </c>
      <c r="K151" t="str">
        <f t="shared" si="2"/>
        <v>p1</v>
      </c>
      <c r="L151" s="1">
        <v>45038</v>
      </c>
      <c r="M151" s="1">
        <v>45050</v>
      </c>
      <c r="N151" s="1">
        <v>45062</v>
      </c>
      <c r="O151" s="1">
        <v>45071</v>
      </c>
      <c r="P151" s="1">
        <v>45080</v>
      </c>
      <c r="Q151" t="s">
        <v>23</v>
      </c>
      <c r="R151" t="s">
        <v>23</v>
      </c>
    </row>
    <row r="152" spans="1:18" x14ac:dyDescent="0.45">
      <c r="A152">
        <v>48765</v>
      </c>
      <c r="B152" t="s">
        <v>115</v>
      </c>
      <c r="C152" t="s">
        <v>366</v>
      </c>
      <c r="D152" t="s">
        <v>367</v>
      </c>
      <c r="E152" s="1">
        <v>45012</v>
      </c>
      <c r="F152" s="1">
        <v>45141</v>
      </c>
      <c r="G152" t="s">
        <v>58</v>
      </c>
      <c r="I152" t="s">
        <v>368</v>
      </c>
      <c r="J152" t="s">
        <v>25</v>
      </c>
      <c r="K152" t="str">
        <f t="shared" si="2"/>
        <v>p1</v>
      </c>
      <c r="L152" s="1">
        <v>45014</v>
      </c>
      <c r="M152" s="1">
        <v>45029</v>
      </c>
      <c r="N152" s="1">
        <v>45041</v>
      </c>
      <c r="O152" s="1">
        <v>45052</v>
      </c>
      <c r="P152" s="1">
        <v>45076</v>
      </c>
      <c r="Q152" t="s">
        <v>23</v>
      </c>
      <c r="R152" t="s">
        <v>23</v>
      </c>
    </row>
    <row r="153" spans="1:18" x14ac:dyDescent="0.45">
      <c r="A153">
        <v>48765</v>
      </c>
      <c r="B153" t="s">
        <v>115</v>
      </c>
      <c r="C153" t="s">
        <v>366</v>
      </c>
      <c r="D153" t="s">
        <v>367</v>
      </c>
      <c r="E153" s="1">
        <v>45012</v>
      </c>
      <c r="F153" s="1">
        <v>45141</v>
      </c>
      <c r="G153" t="s">
        <v>58</v>
      </c>
      <c r="I153" t="s">
        <v>369</v>
      </c>
      <c r="J153" t="s">
        <v>42</v>
      </c>
      <c r="K153" t="str">
        <f t="shared" si="2"/>
        <v>p2</v>
      </c>
      <c r="L153" s="1">
        <v>45072</v>
      </c>
      <c r="M153" s="1">
        <v>45087</v>
      </c>
      <c r="N153" s="1">
        <v>45099</v>
      </c>
      <c r="O153" s="1">
        <v>45117</v>
      </c>
      <c r="P153" s="1">
        <v>45128</v>
      </c>
      <c r="Q153" t="s">
        <v>23</v>
      </c>
      <c r="R153" t="s">
        <v>23</v>
      </c>
    </row>
    <row r="154" spans="1:18" x14ac:dyDescent="0.45">
      <c r="A154">
        <v>48765</v>
      </c>
      <c r="B154" t="s">
        <v>115</v>
      </c>
      <c r="C154" t="s">
        <v>366</v>
      </c>
      <c r="D154" t="s">
        <v>367</v>
      </c>
      <c r="E154" s="1">
        <v>45012</v>
      </c>
      <c r="F154" s="1">
        <v>45141</v>
      </c>
      <c r="G154" t="s">
        <v>58</v>
      </c>
      <c r="I154" t="s">
        <v>370</v>
      </c>
      <c r="J154" t="s">
        <v>25</v>
      </c>
      <c r="K154" t="str">
        <f t="shared" si="2"/>
        <v>p3</v>
      </c>
      <c r="L154" t="s">
        <v>23</v>
      </c>
      <c r="M154" t="s">
        <v>23</v>
      </c>
      <c r="N154" t="s">
        <v>23</v>
      </c>
      <c r="O154" t="s">
        <v>23</v>
      </c>
      <c r="P154" t="s">
        <v>23</v>
      </c>
      <c r="Q154" t="s">
        <v>23</v>
      </c>
      <c r="R154" t="s">
        <v>23</v>
      </c>
    </row>
    <row r="155" spans="1:18" x14ac:dyDescent="0.45">
      <c r="A155">
        <v>48797</v>
      </c>
      <c r="B155" t="s">
        <v>118</v>
      </c>
      <c r="C155" t="s">
        <v>371</v>
      </c>
      <c r="D155" t="s">
        <v>372</v>
      </c>
      <c r="E155" s="1">
        <v>45045</v>
      </c>
      <c r="F155" s="1">
        <v>45089</v>
      </c>
      <c r="G155" t="s">
        <v>28</v>
      </c>
      <c r="I155" t="s">
        <v>373</v>
      </c>
      <c r="J155" t="s">
        <v>25</v>
      </c>
      <c r="K155" t="str">
        <f t="shared" si="2"/>
        <v>p1</v>
      </c>
      <c r="L155" t="s">
        <v>39</v>
      </c>
      <c r="M155" t="s">
        <v>39</v>
      </c>
      <c r="N155" t="s">
        <v>39</v>
      </c>
      <c r="O155" s="1">
        <v>45053</v>
      </c>
      <c r="P155" s="1">
        <v>45062</v>
      </c>
      <c r="Q155" t="s">
        <v>23</v>
      </c>
      <c r="R155" t="s">
        <v>23</v>
      </c>
    </row>
    <row r="156" spans="1:18" x14ac:dyDescent="0.45">
      <c r="A156">
        <v>48877</v>
      </c>
      <c r="B156" t="s">
        <v>78</v>
      </c>
      <c r="C156" t="s">
        <v>374</v>
      </c>
      <c r="D156" t="s">
        <v>374</v>
      </c>
      <c r="E156" s="1">
        <v>45062</v>
      </c>
      <c r="F156" s="1">
        <v>45185</v>
      </c>
      <c r="G156" t="s">
        <v>166</v>
      </c>
      <c r="I156" t="s">
        <v>375</v>
      </c>
      <c r="J156" t="s">
        <v>166</v>
      </c>
      <c r="K156" t="str">
        <f t="shared" si="2"/>
        <v>p1</v>
      </c>
      <c r="L156" t="s">
        <v>23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  <c r="R156" t="s">
        <v>23</v>
      </c>
    </row>
    <row r="157" spans="1:18" x14ac:dyDescent="0.45">
      <c r="A157">
        <v>52597</v>
      </c>
      <c r="B157" t="s">
        <v>118</v>
      </c>
      <c r="C157" t="s">
        <v>376</v>
      </c>
      <c r="D157" t="s">
        <v>377</v>
      </c>
      <c r="E157" s="1">
        <v>44638</v>
      </c>
      <c r="F157" s="1">
        <v>44735</v>
      </c>
      <c r="G157" t="s">
        <v>28</v>
      </c>
      <c r="I157" t="s">
        <v>378</v>
      </c>
      <c r="J157" t="s">
        <v>25</v>
      </c>
      <c r="K157" t="str">
        <f t="shared" si="2"/>
        <v>p1</v>
      </c>
      <c r="L157" s="1">
        <v>44642</v>
      </c>
      <c r="M157" s="1">
        <v>44659</v>
      </c>
      <c r="N157" s="1">
        <v>44671</v>
      </c>
      <c r="O157" s="1">
        <v>44684</v>
      </c>
      <c r="P157" s="1">
        <v>44697</v>
      </c>
      <c r="Q157" t="s">
        <v>23</v>
      </c>
      <c r="R157" t="s">
        <v>23</v>
      </c>
    </row>
    <row r="158" spans="1:18" x14ac:dyDescent="0.45">
      <c r="A158">
        <v>52598</v>
      </c>
      <c r="B158" t="s">
        <v>118</v>
      </c>
      <c r="C158" t="s">
        <v>379</v>
      </c>
      <c r="D158" t="s">
        <v>380</v>
      </c>
      <c r="E158" s="1">
        <v>44642</v>
      </c>
      <c r="F158" s="1">
        <v>44665</v>
      </c>
      <c r="G158" t="s">
        <v>32</v>
      </c>
      <c r="I158" t="s">
        <v>381</v>
      </c>
      <c r="J158" t="s">
        <v>32</v>
      </c>
      <c r="K158" t="str">
        <f t="shared" si="2"/>
        <v>p1</v>
      </c>
      <c r="L158" t="s">
        <v>23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  <c r="R158" t="s">
        <v>23</v>
      </c>
    </row>
    <row r="159" spans="1:18" x14ac:dyDescent="0.45">
      <c r="A159">
        <v>57589</v>
      </c>
      <c r="B159" t="s">
        <v>101</v>
      </c>
      <c r="C159" t="s">
        <v>382</v>
      </c>
      <c r="D159" t="s">
        <v>382</v>
      </c>
      <c r="E159" s="1">
        <v>43929</v>
      </c>
      <c r="F159" s="1">
        <v>44027</v>
      </c>
      <c r="G159" t="s">
        <v>28</v>
      </c>
      <c r="I159" t="s">
        <v>383</v>
      </c>
      <c r="J159" t="s">
        <v>25</v>
      </c>
      <c r="K159" t="str">
        <f t="shared" si="2"/>
        <v>p1</v>
      </c>
      <c r="L159" t="s">
        <v>39</v>
      </c>
      <c r="M159" s="1">
        <v>43933</v>
      </c>
      <c r="N159" s="1">
        <v>43945</v>
      </c>
      <c r="O159" s="1">
        <v>43960</v>
      </c>
      <c r="P159" s="1">
        <v>43979</v>
      </c>
      <c r="Q159" t="s">
        <v>23</v>
      </c>
      <c r="R159" t="s">
        <v>23</v>
      </c>
    </row>
    <row r="160" spans="1:18" x14ac:dyDescent="0.45">
      <c r="A160">
        <v>58629</v>
      </c>
      <c r="B160" t="s">
        <v>78</v>
      </c>
      <c r="C160" t="s">
        <v>384</v>
      </c>
      <c r="D160" t="s">
        <v>384</v>
      </c>
      <c r="E160" s="1">
        <v>45078</v>
      </c>
      <c r="F160" s="1">
        <v>45139</v>
      </c>
      <c r="G160" t="s">
        <v>28</v>
      </c>
      <c r="I160" t="s">
        <v>385</v>
      </c>
      <c r="J160" t="s">
        <v>25</v>
      </c>
      <c r="K160" t="str">
        <f t="shared" si="2"/>
        <v>p1</v>
      </c>
      <c r="L160" t="s">
        <v>39</v>
      </c>
      <c r="M160" s="1">
        <v>45085</v>
      </c>
      <c r="N160" s="1">
        <v>45097</v>
      </c>
      <c r="O160" s="1">
        <v>45106</v>
      </c>
      <c r="P160" s="1">
        <v>45126</v>
      </c>
      <c r="Q160" t="s">
        <v>23</v>
      </c>
      <c r="R160" t="s">
        <v>23</v>
      </c>
    </row>
    <row r="161" spans="1:18" x14ac:dyDescent="0.45">
      <c r="A161">
        <v>63044</v>
      </c>
      <c r="B161" t="s">
        <v>213</v>
      </c>
      <c r="C161" t="s">
        <v>386</v>
      </c>
      <c r="D161" t="s">
        <v>386</v>
      </c>
      <c r="E161" s="1">
        <v>45366</v>
      </c>
      <c r="F161" s="1">
        <v>45467</v>
      </c>
      <c r="G161" t="s">
        <v>58</v>
      </c>
      <c r="I161" t="s">
        <v>387</v>
      </c>
      <c r="J161" t="s">
        <v>64</v>
      </c>
      <c r="K161" t="str">
        <f t="shared" si="2"/>
        <v>p1</v>
      </c>
      <c r="L161" s="1">
        <v>45366</v>
      </c>
      <c r="M161" s="1">
        <v>45405</v>
      </c>
      <c r="N161" s="1">
        <v>45417</v>
      </c>
      <c r="O161" s="1">
        <v>45431</v>
      </c>
      <c r="P161" t="s">
        <v>23</v>
      </c>
      <c r="Q161" t="s">
        <v>23</v>
      </c>
      <c r="R161" s="1">
        <v>45408</v>
      </c>
    </row>
    <row r="162" spans="1:18" x14ac:dyDescent="0.45">
      <c r="A162">
        <v>63044</v>
      </c>
      <c r="B162" t="s">
        <v>213</v>
      </c>
      <c r="C162" t="s">
        <v>386</v>
      </c>
      <c r="D162" t="s">
        <v>386</v>
      </c>
      <c r="E162" s="1">
        <v>45366</v>
      </c>
      <c r="F162" s="1">
        <v>45467</v>
      </c>
      <c r="G162" t="s">
        <v>58</v>
      </c>
      <c r="I162" t="s">
        <v>388</v>
      </c>
      <c r="J162" t="s">
        <v>25</v>
      </c>
      <c r="K162" t="str">
        <f t="shared" si="2"/>
        <v>p2</v>
      </c>
      <c r="L162" s="1">
        <v>45429</v>
      </c>
      <c r="M162" s="1">
        <v>45441</v>
      </c>
      <c r="N162" s="1">
        <v>45453</v>
      </c>
      <c r="O162" s="1">
        <v>45461</v>
      </c>
      <c r="P162" t="s">
        <v>51</v>
      </c>
      <c r="Q162" t="s">
        <v>23</v>
      </c>
      <c r="R162" t="s">
        <v>23</v>
      </c>
    </row>
    <row r="163" spans="1:18" x14ac:dyDescent="0.45">
      <c r="A163">
        <v>63049</v>
      </c>
      <c r="B163" t="s">
        <v>101</v>
      </c>
      <c r="C163" t="s">
        <v>389</v>
      </c>
      <c r="D163" t="s">
        <v>390</v>
      </c>
      <c r="E163" s="1">
        <v>45392</v>
      </c>
      <c r="F163" s="1">
        <v>45474</v>
      </c>
      <c r="G163" t="s">
        <v>70</v>
      </c>
      <c r="I163" t="s">
        <v>391</v>
      </c>
      <c r="J163" t="s">
        <v>25</v>
      </c>
      <c r="K163" t="str">
        <f t="shared" si="2"/>
        <v>p1</v>
      </c>
      <c r="L163" t="s">
        <v>39</v>
      </c>
      <c r="M163" s="1">
        <v>45402</v>
      </c>
      <c r="N163" s="1">
        <v>45414</v>
      </c>
      <c r="O163" s="1">
        <v>45430</v>
      </c>
      <c r="P163" t="s">
        <v>51</v>
      </c>
      <c r="Q163" t="s">
        <v>23</v>
      </c>
      <c r="R163" t="s">
        <v>23</v>
      </c>
    </row>
    <row r="164" spans="1:18" x14ac:dyDescent="0.45">
      <c r="A164">
        <v>63085</v>
      </c>
      <c r="B164" t="s">
        <v>44</v>
      </c>
      <c r="C164" t="s">
        <v>392</v>
      </c>
      <c r="D164" t="s">
        <v>392</v>
      </c>
      <c r="E164" s="1">
        <v>45419</v>
      </c>
      <c r="F164" s="1">
        <v>45436</v>
      </c>
      <c r="G164" t="s">
        <v>166</v>
      </c>
      <c r="I164" t="s">
        <v>393</v>
      </c>
      <c r="J164" t="s">
        <v>166</v>
      </c>
      <c r="K164" t="str">
        <f t="shared" si="2"/>
        <v>p1</v>
      </c>
      <c r="L164" t="s">
        <v>23</v>
      </c>
      <c r="M164" t="s">
        <v>23</v>
      </c>
      <c r="N164" t="s">
        <v>23</v>
      </c>
      <c r="O164" t="s">
        <v>23</v>
      </c>
      <c r="P164" t="s">
        <v>23</v>
      </c>
      <c r="Q164" t="s">
        <v>23</v>
      </c>
      <c r="R164" t="s">
        <v>23</v>
      </c>
    </row>
    <row r="165" spans="1:18" x14ac:dyDescent="0.45">
      <c r="A165">
        <v>63086</v>
      </c>
      <c r="B165" t="s">
        <v>180</v>
      </c>
      <c r="C165" t="s">
        <v>394</v>
      </c>
      <c r="D165" t="s">
        <v>395</v>
      </c>
      <c r="E165" s="1">
        <v>45416</v>
      </c>
      <c r="F165" s="1">
        <v>45487</v>
      </c>
      <c r="G165" t="s">
        <v>166</v>
      </c>
      <c r="I165" t="s">
        <v>396</v>
      </c>
      <c r="J165" t="s">
        <v>166</v>
      </c>
      <c r="K165" t="str">
        <f t="shared" si="2"/>
        <v>p1</v>
      </c>
      <c r="L165" t="s">
        <v>23</v>
      </c>
      <c r="M165" t="s">
        <v>23</v>
      </c>
      <c r="N165" t="s">
        <v>23</v>
      </c>
      <c r="O165" t="s">
        <v>23</v>
      </c>
      <c r="P165" t="s">
        <v>23</v>
      </c>
      <c r="Q165" t="s">
        <v>23</v>
      </c>
      <c r="R165" t="s">
        <v>23</v>
      </c>
    </row>
    <row r="166" spans="1:18" x14ac:dyDescent="0.45">
      <c r="A166">
        <v>63087</v>
      </c>
      <c r="B166" t="s">
        <v>101</v>
      </c>
      <c r="C166" t="s">
        <v>397</v>
      </c>
      <c r="D166" t="s">
        <v>398</v>
      </c>
      <c r="E166" s="1">
        <v>45392</v>
      </c>
      <c r="F166" s="1">
        <v>45474</v>
      </c>
      <c r="G166" t="s">
        <v>166</v>
      </c>
      <c r="I166" t="s">
        <v>399</v>
      </c>
      <c r="J166" t="s">
        <v>166</v>
      </c>
      <c r="K166" t="str">
        <f t="shared" si="2"/>
        <v>p1</v>
      </c>
      <c r="L166" t="s">
        <v>23</v>
      </c>
      <c r="M166" t="s">
        <v>23</v>
      </c>
      <c r="N166" t="s">
        <v>23</v>
      </c>
      <c r="O166" t="s">
        <v>23</v>
      </c>
      <c r="P166" t="s">
        <v>23</v>
      </c>
      <c r="Q166" t="s">
        <v>23</v>
      </c>
      <c r="R166" t="s">
        <v>23</v>
      </c>
    </row>
    <row r="167" spans="1:18" x14ac:dyDescent="0.45">
      <c r="A167">
        <v>63089</v>
      </c>
      <c r="B167" t="s">
        <v>52</v>
      </c>
      <c r="C167" t="s">
        <v>400</v>
      </c>
      <c r="D167" t="s">
        <v>401</v>
      </c>
      <c r="E167" s="1">
        <v>45448</v>
      </c>
      <c r="F167" s="1">
        <v>45465</v>
      </c>
      <c r="G167" t="s">
        <v>28</v>
      </c>
      <c r="I167" t="s">
        <v>402</v>
      </c>
      <c r="J167" t="s">
        <v>25</v>
      </c>
      <c r="K167" t="str">
        <f t="shared" si="2"/>
        <v>p1</v>
      </c>
      <c r="L167" t="s">
        <v>39</v>
      </c>
      <c r="M167" t="s">
        <v>39</v>
      </c>
      <c r="N167" t="s">
        <v>39</v>
      </c>
      <c r="O167" s="1">
        <v>45456</v>
      </c>
      <c r="P167" s="1">
        <v>45462</v>
      </c>
      <c r="Q167" t="s">
        <v>23</v>
      </c>
      <c r="R167" t="s">
        <v>23</v>
      </c>
    </row>
    <row r="168" spans="1:18" x14ac:dyDescent="0.45">
      <c r="A168">
        <v>63114</v>
      </c>
      <c r="B168" t="s">
        <v>300</v>
      </c>
      <c r="C168" t="s">
        <v>403</v>
      </c>
      <c r="D168" t="s">
        <v>403</v>
      </c>
      <c r="E168" s="1">
        <v>45407</v>
      </c>
      <c r="F168" s="1">
        <v>45485</v>
      </c>
      <c r="G168" t="s">
        <v>70</v>
      </c>
      <c r="I168" t="s">
        <v>404</v>
      </c>
      <c r="J168" t="s">
        <v>25</v>
      </c>
      <c r="K168" t="str">
        <f t="shared" si="2"/>
        <v>p1</v>
      </c>
      <c r="L168" t="s">
        <v>39</v>
      </c>
      <c r="M168" t="s">
        <v>23</v>
      </c>
      <c r="N168" t="s">
        <v>23</v>
      </c>
      <c r="O168" s="1">
        <v>45423</v>
      </c>
      <c r="P168" s="1">
        <v>45454</v>
      </c>
      <c r="Q168" t="s">
        <v>23</v>
      </c>
      <c r="R168" t="s">
        <v>23</v>
      </c>
    </row>
    <row r="169" spans="1:18" x14ac:dyDescent="0.45">
      <c r="A169">
        <v>63115</v>
      </c>
      <c r="B169" t="s">
        <v>118</v>
      </c>
      <c r="C169" t="s">
        <v>405</v>
      </c>
      <c r="D169" t="s">
        <v>405</v>
      </c>
      <c r="E169" s="1">
        <v>45433</v>
      </c>
      <c r="F169" s="1">
        <v>45519</v>
      </c>
      <c r="G169" t="s">
        <v>28</v>
      </c>
      <c r="I169" t="s">
        <v>406</v>
      </c>
      <c r="J169" t="s">
        <v>25</v>
      </c>
      <c r="K169" t="str">
        <f t="shared" si="2"/>
        <v>p1</v>
      </c>
      <c r="L169" t="s">
        <v>39</v>
      </c>
      <c r="M169" s="1">
        <v>45431</v>
      </c>
      <c r="N169" s="1">
        <v>45443</v>
      </c>
      <c r="O169" s="1">
        <v>45458</v>
      </c>
      <c r="P169" s="1">
        <v>45466</v>
      </c>
      <c r="Q169" t="s">
        <v>23</v>
      </c>
      <c r="R169" t="s">
        <v>23</v>
      </c>
    </row>
    <row r="170" spans="1:18" x14ac:dyDescent="0.45">
      <c r="A170">
        <v>63116</v>
      </c>
      <c r="B170" t="s">
        <v>176</v>
      </c>
      <c r="C170" t="s">
        <v>407</v>
      </c>
      <c r="D170" t="s">
        <v>408</v>
      </c>
      <c r="E170" s="1">
        <v>45376</v>
      </c>
      <c r="F170" s="1">
        <v>45507</v>
      </c>
      <c r="G170" t="s">
        <v>28</v>
      </c>
      <c r="I170" t="s">
        <v>409</v>
      </c>
      <c r="J170" t="s">
        <v>25</v>
      </c>
      <c r="K170" t="str">
        <f t="shared" si="2"/>
        <v>p1</v>
      </c>
      <c r="L170" t="s">
        <v>23</v>
      </c>
      <c r="M170" s="1">
        <v>45479</v>
      </c>
      <c r="N170" s="1">
        <v>45491</v>
      </c>
      <c r="O170" s="1">
        <v>45500</v>
      </c>
      <c r="P170" t="s">
        <v>51</v>
      </c>
      <c r="Q170" t="s">
        <v>23</v>
      </c>
      <c r="R170" t="s">
        <v>23</v>
      </c>
    </row>
    <row r="171" spans="1:18" x14ac:dyDescent="0.45">
      <c r="A171">
        <v>63465</v>
      </c>
      <c r="B171" t="s">
        <v>176</v>
      </c>
      <c r="C171" t="s">
        <v>410</v>
      </c>
      <c r="D171" t="s">
        <v>411</v>
      </c>
      <c r="E171" s="1">
        <v>45380</v>
      </c>
      <c r="F171" s="1">
        <v>45513</v>
      </c>
      <c r="G171" t="s">
        <v>28</v>
      </c>
      <c r="I171" t="s">
        <v>412</v>
      </c>
      <c r="J171" t="s">
        <v>25</v>
      </c>
      <c r="K171" t="str">
        <f t="shared" si="2"/>
        <v>p1</v>
      </c>
      <c r="L171" t="s">
        <v>23</v>
      </c>
      <c r="M171" s="1">
        <v>45410</v>
      </c>
      <c r="N171" s="1">
        <v>45422</v>
      </c>
      <c r="O171" s="1">
        <v>45436</v>
      </c>
      <c r="P171" s="1">
        <v>45444</v>
      </c>
      <c r="Q171" t="s">
        <v>23</v>
      </c>
      <c r="R171" t="s">
        <v>23</v>
      </c>
    </row>
    <row r="172" spans="1:18" x14ac:dyDescent="0.45">
      <c r="A172">
        <v>63468</v>
      </c>
      <c r="B172" t="s">
        <v>115</v>
      </c>
      <c r="C172" t="s">
        <v>413</v>
      </c>
      <c r="D172" t="s">
        <v>413</v>
      </c>
      <c r="E172" s="1">
        <v>45378</v>
      </c>
      <c r="F172" s="1">
        <v>45465</v>
      </c>
      <c r="G172" t="s">
        <v>32</v>
      </c>
      <c r="I172" t="s">
        <v>414</v>
      </c>
      <c r="J172" t="s">
        <v>32</v>
      </c>
      <c r="K172" t="str">
        <f t="shared" si="2"/>
        <v>p1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</row>
    <row r="173" spans="1:18" x14ac:dyDescent="0.45">
      <c r="A173">
        <v>63656</v>
      </c>
      <c r="B173" t="s">
        <v>115</v>
      </c>
      <c r="C173" t="s">
        <v>415</v>
      </c>
      <c r="D173" t="s">
        <v>415</v>
      </c>
      <c r="E173" s="1">
        <v>45377</v>
      </c>
      <c r="F173" s="1">
        <v>45511</v>
      </c>
      <c r="G173" t="s">
        <v>19</v>
      </c>
      <c r="H173" t="s">
        <v>169</v>
      </c>
      <c r="I173" t="s">
        <v>416</v>
      </c>
      <c r="J173" t="s">
        <v>25</v>
      </c>
      <c r="K173" t="str">
        <f t="shared" si="2"/>
        <v>p1</v>
      </c>
      <c r="L173" t="s">
        <v>39</v>
      </c>
      <c r="M173" s="1">
        <v>45391</v>
      </c>
      <c r="N173" t="s">
        <v>23</v>
      </c>
      <c r="O173" t="s">
        <v>23</v>
      </c>
      <c r="P173" s="1">
        <v>45436</v>
      </c>
      <c r="Q173" t="s">
        <v>23</v>
      </c>
      <c r="R173" t="s">
        <v>23</v>
      </c>
    </row>
    <row r="174" spans="1:18" x14ac:dyDescent="0.45">
      <c r="A174">
        <v>63656</v>
      </c>
      <c r="B174" t="s">
        <v>115</v>
      </c>
      <c r="C174" t="s">
        <v>415</v>
      </c>
      <c r="D174" t="s">
        <v>415</v>
      </c>
      <c r="E174" s="1">
        <v>45377</v>
      </c>
      <c r="F174" s="1">
        <v>45511</v>
      </c>
      <c r="G174" t="s">
        <v>19</v>
      </c>
      <c r="H174" t="s">
        <v>169</v>
      </c>
      <c r="I174" t="s">
        <v>417</v>
      </c>
      <c r="J174" t="s">
        <v>25</v>
      </c>
      <c r="K174" t="str">
        <f t="shared" si="2"/>
        <v>p2</v>
      </c>
      <c r="L174" s="1">
        <v>45413</v>
      </c>
      <c r="M174" s="1">
        <v>45426</v>
      </c>
      <c r="N174" s="1">
        <v>45438</v>
      </c>
      <c r="O174" s="1">
        <v>45452</v>
      </c>
      <c r="P174" s="1">
        <v>45503</v>
      </c>
      <c r="Q174" t="s">
        <v>23</v>
      </c>
      <c r="R174" t="s">
        <v>23</v>
      </c>
    </row>
    <row r="175" spans="1:18" x14ac:dyDescent="0.45">
      <c r="A175">
        <v>63738</v>
      </c>
      <c r="B175" t="s">
        <v>96</v>
      </c>
      <c r="C175" t="s">
        <v>418</v>
      </c>
      <c r="D175" t="s">
        <v>418</v>
      </c>
      <c r="E175" s="1">
        <v>45386</v>
      </c>
      <c r="F175" s="1">
        <v>45508</v>
      </c>
      <c r="G175" t="s">
        <v>70</v>
      </c>
      <c r="I175" t="s">
        <v>419</v>
      </c>
      <c r="J175" t="s">
        <v>25</v>
      </c>
      <c r="K175" t="str">
        <f t="shared" si="2"/>
        <v>p1</v>
      </c>
      <c r="L175" t="s">
        <v>39</v>
      </c>
      <c r="M175" s="1">
        <v>45390</v>
      </c>
      <c r="N175" s="1">
        <v>45402</v>
      </c>
      <c r="O175" s="1">
        <v>45418</v>
      </c>
      <c r="P175" s="1">
        <v>45449</v>
      </c>
      <c r="Q175" t="s">
        <v>23</v>
      </c>
      <c r="R175" t="s">
        <v>23</v>
      </c>
    </row>
    <row r="176" spans="1:18" x14ac:dyDescent="0.45">
      <c r="A176">
        <v>65444</v>
      </c>
      <c r="B176" t="s">
        <v>254</v>
      </c>
      <c r="C176" t="s">
        <v>420</v>
      </c>
      <c r="D176" t="s">
        <v>420</v>
      </c>
      <c r="E176" s="1">
        <v>45414</v>
      </c>
      <c r="F176" s="1">
        <v>45508</v>
      </c>
      <c r="G176" t="s">
        <v>58</v>
      </c>
      <c r="I176" t="s">
        <v>421</v>
      </c>
      <c r="J176" t="s">
        <v>25</v>
      </c>
      <c r="K176" t="str">
        <f t="shared" si="2"/>
        <v>p1</v>
      </c>
      <c r="L176" t="s">
        <v>39</v>
      </c>
      <c r="M176" t="s">
        <v>39</v>
      </c>
      <c r="N176" t="s">
        <v>39</v>
      </c>
      <c r="O176" s="1">
        <v>45415</v>
      </c>
      <c r="P176" t="s">
        <v>23</v>
      </c>
      <c r="Q176" t="s">
        <v>23</v>
      </c>
      <c r="R176" t="s">
        <v>23</v>
      </c>
    </row>
    <row r="177" spans="1:18" x14ac:dyDescent="0.45">
      <c r="A177">
        <v>65444</v>
      </c>
      <c r="B177" t="s">
        <v>254</v>
      </c>
      <c r="C177" t="s">
        <v>420</v>
      </c>
      <c r="D177" t="s">
        <v>420</v>
      </c>
      <c r="E177" s="1">
        <v>45414</v>
      </c>
      <c r="F177" s="1">
        <v>45508</v>
      </c>
      <c r="G177" t="s">
        <v>58</v>
      </c>
      <c r="I177" t="s">
        <v>422</v>
      </c>
      <c r="J177" t="s">
        <v>25</v>
      </c>
      <c r="K177" t="str">
        <f t="shared" si="2"/>
        <v>p2</v>
      </c>
      <c r="L177" t="s">
        <v>39</v>
      </c>
      <c r="M177" s="1">
        <v>45424</v>
      </c>
      <c r="N177" s="1">
        <v>45436</v>
      </c>
      <c r="O177" t="s">
        <v>23</v>
      </c>
      <c r="P177" t="s">
        <v>23</v>
      </c>
      <c r="Q177" t="s">
        <v>23</v>
      </c>
      <c r="R177" t="s">
        <v>23</v>
      </c>
    </row>
    <row r="178" spans="1:18" x14ac:dyDescent="0.45">
      <c r="A178">
        <v>65444</v>
      </c>
      <c r="B178" t="s">
        <v>254</v>
      </c>
      <c r="C178" t="s">
        <v>420</v>
      </c>
      <c r="D178" t="s">
        <v>420</v>
      </c>
      <c r="E178" s="1">
        <v>45414</v>
      </c>
      <c r="F178" s="1">
        <v>45508</v>
      </c>
      <c r="G178" t="s">
        <v>58</v>
      </c>
      <c r="I178" t="s">
        <v>423</v>
      </c>
      <c r="J178" t="s">
        <v>25</v>
      </c>
      <c r="K178" t="str">
        <f t="shared" si="2"/>
        <v>p3</v>
      </c>
      <c r="L178" s="1">
        <v>45442</v>
      </c>
      <c r="M178" s="1">
        <v>45452</v>
      </c>
      <c r="N178" s="1">
        <v>45464</v>
      </c>
      <c r="O178" t="s">
        <v>23</v>
      </c>
      <c r="P178" s="1">
        <v>45480</v>
      </c>
      <c r="Q178" t="s">
        <v>23</v>
      </c>
      <c r="R178" t="s">
        <v>23</v>
      </c>
    </row>
    <row r="179" spans="1:18" x14ac:dyDescent="0.45">
      <c r="A179">
        <v>65446</v>
      </c>
      <c r="B179" t="s">
        <v>254</v>
      </c>
      <c r="C179" t="s">
        <v>424</v>
      </c>
      <c r="D179" t="s">
        <v>424</v>
      </c>
      <c r="E179" s="1">
        <v>45405</v>
      </c>
      <c r="F179" s="1">
        <v>45523</v>
      </c>
      <c r="G179" t="s">
        <v>58</v>
      </c>
      <c r="I179" t="s">
        <v>425</v>
      </c>
      <c r="J179" t="s">
        <v>25</v>
      </c>
      <c r="K179" t="str">
        <f t="shared" si="2"/>
        <v>p1</v>
      </c>
      <c r="L179" t="s">
        <v>39</v>
      </c>
      <c r="M179" t="s">
        <v>39</v>
      </c>
      <c r="N179" t="s">
        <v>39</v>
      </c>
      <c r="O179" s="1">
        <v>45418</v>
      </c>
      <c r="P179" s="1">
        <v>45441</v>
      </c>
      <c r="Q179" t="s">
        <v>23</v>
      </c>
      <c r="R179" t="s">
        <v>23</v>
      </c>
    </row>
    <row r="180" spans="1:18" x14ac:dyDescent="0.45">
      <c r="A180">
        <v>65446</v>
      </c>
      <c r="B180" t="s">
        <v>254</v>
      </c>
      <c r="C180" t="s">
        <v>424</v>
      </c>
      <c r="D180" t="s">
        <v>424</v>
      </c>
      <c r="E180" s="1">
        <v>45405</v>
      </c>
      <c r="F180" s="1">
        <v>45523</v>
      </c>
      <c r="G180" t="s">
        <v>58</v>
      </c>
      <c r="I180" t="s">
        <v>426</v>
      </c>
      <c r="J180" t="s">
        <v>25</v>
      </c>
      <c r="K180" t="str">
        <f t="shared" si="2"/>
        <v>p2</v>
      </c>
      <c r="L180" s="1">
        <v>45406</v>
      </c>
      <c r="M180" s="1">
        <v>45425</v>
      </c>
      <c r="N180" s="1">
        <v>45437</v>
      </c>
      <c r="O180" s="1">
        <v>45449</v>
      </c>
      <c r="P180" s="1">
        <v>45456</v>
      </c>
      <c r="Q180" t="s">
        <v>23</v>
      </c>
      <c r="R180" t="s">
        <v>23</v>
      </c>
    </row>
    <row r="181" spans="1:18" x14ac:dyDescent="0.45">
      <c r="A181">
        <v>65446</v>
      </c>
      <c r="B181" t="s">
        <v>254</v>
      </c>
      <c r="C181" t="s">
        <v>424</v>
      </c>
      <c r="D181" t="s">
        <v>424</v>
      </c>
      <c r="E181" s="1">
        <v>45405</v>
      </c>
      <c r="F181" s="1">
        <v>45523</v>
      </c>
      <c r="G181" t="s">
        <v>58</v>
      </c>
      <c r="I181" t="s">
        <v>427</v>
      </c>
      <c r="J181" t="s">
        <v>25</v>
      </c>
      <c r="K181" t="str">
        <f t="shared" si="2"/>
        <v>p3</v>
      </c>
      <c r="L181" s="1">
        <v>45447</v>
      </c>
      <c r="M181" s="1">
        <v>45449</v>
      </c>
      <c r="N181" s="1">
        <v>45461</v>
      </c>
      <c r="O181" s="1">
        <v>45469</v>
      </c>
      <c r="P181" s="1">
        <v>45489</v>
      </c>
      <c r="Q181" t="s">
        <v>23</v>
      </c>
      <c r="R181" t="s">
        <v>23</v>
      </c>
    </row>
    <row r="182" spans="1:18" x14ac:dyDescent="0.45">
      <c r="A182">
        <v>65447</v>
      </c>
      <c r="B182" t="s">
        <v>254</v>
      </c>
      <c r="C182" t="s">
        <v>428</v>
      </c>
      <c r="D182" t="s">
        <v>428</v>
      </c>
      <c r="E182" s="1">
        <v>45405</v>
      </c>
      <c r="F182" s="1">
        <v>45505</v>
      </c>
      <c r="G182" t="s">
        <v>58</v>
      </c>
      <c r="I182" t="s">
        <v>429</v>
      </c>
      <c r="J182" t="s">
        <v>25</v>
      </c>
      <c r="K182" t="str">
        <f t="shared" si="2"/>
        <v>p1</v>
      </c>
      <c r="L182" t="s">
        <v>39</v>
      </c>
      <c r="M182" s="1">
        <v>45399</v>
      </c>
      <c r="N182" s="1">
        <v>45411</v>
      </c>
      <c r="O182" s="1">
        <v>45422</v>
      </c>
      <c r="P182" s="1">
        <v>45439</v>
      </c>
      <c r="Q182" t="s">
        <v>23</v>
      </c>
      <c r="R182" t="s">
        <v>23</v>
      </c>
    </row>
    <row r="183" spans="1:18" x14ac:dyDescent="0.45">
      <c r="A183">
        <v>65447</v>
      </c>
      <c r="B183" t="s">
        <v>254</v>
      </c>
      <c r="C183" t="s">
        <v>428</v>
      </c>
      <c r="D183" t="s">
        <v>428</v>
      </c>
      <c r="E183" s="1">
        <v>45405</v>
      </c>
      <c r="F183" s="1">
        <v>45505</v>
      </c>
      <c r="G183" t="s">
        <v>58</v>
      </c>
      <c r="I183" t="s">
        <v>430</v>
      </c>
      <c r="J183" t="s">
        <v>25</v>
      </c>
      <c r="K183" t="str">
        <f t="shared" si="2"/>
        <v>p2</v>
      </c>
      <c r="L183" s="1">
        <v>45423</v>
      </c>
      <c r="M183" s="1">
        <v>45435</v>
      </c>
      <c r="N183" s="1">
        <v>45447</v>
      </c>
      <c r="O183" s="1">
        <v>45455</v>
      </c>
      <c r="P183" s="1">
        <v>45464</v>
      </c>
      <c r="Q183" t="s">
        <v>23</v>
      </c>
      <c r="R183" t="s">
        <v>23</v>
      </c>
    </row>
    <row r="184" spans="1:18" x14ac:dyDescent="0.45">
      <c r="A184">
        <v>65453</v>
      </c>
      <c r="B184" t="s">
        <v>78</v>
      </c>
      <c r="C184" t="s">
        <v>431</v>
      </c>
      <c r="D184" t="s">
        <v>431</v>
      </c>
      <c r="E184" s="1">
        <v>45406</v>
      </c>
      <c r="F184" s="1">
        <v>45538</v>
      </c>
      <c r="G184" t="s">
        <v>28</v>
      </c>
      <c r="I184" t="s">
        <v>432</v>
      </c>
      <c r="J184" t="s">
        <v>64</v>
      </c>
      <c r="K184" t="str">
        <f t="shared" si="2"/>
        <v>p1</v>
      </c>
      <c r="L184" s="1">
        <v>45437</v>
      </c>
      <c r="M184" s="1">
        <v>45442</v>
      </c>
      <c r="N184" s="1">
        <v>45454</v>
      </c>
      <c r="O184" t="s">
        <v>23</v>
      </c>
      <c r="P184" t="s">
        <v>23</v>
      </c>
      <c r="Q184" t="s">
        <v>23</v>
      </c>
      <c r="R184" s="1">
        <v>45462</v>
      </c>
    </row>
    <row r="185" spans="1:18" x14ac:dyDescent="0.45">
      <c r="A185">
        <v>65454</v>
      </c>
      <c r="B185" t="s">
        <v>78</v>
      </c>
      <c r="C185" t="s">
        <v>433</v>
      </c>
      <c r="D185" t="s">
        <v>433</v>
      </c>
      <c r="E185" s="1">
        <v>45406</v>
      </c>
      <c r="F185" s="1">
        <v>45508</v>
      </c>
      <c r="G185" t="s">
        <v>32</v>
      </c>
      <c r="I185" t="s">
        <v>434</v>
      </c>
      <c r="J185" t="s">
        <v>32</v>
      </c>
      <c r="K185" t="str">
        <f t="shared" si="2"/>
        <v>p1</v>
      </c>
      <c r="L185" s="1">
        <v>45461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  <c r="R185" t="s">
        <v>23</v>
      </c>
    </row>
    <row r="186" spans="1:18" x14ac:dyDescent="0.45">
      <c r="A186">
        <v>65456</v>
      </c>
      <c r="B186" t="s">
        <v>142</v>
      </c>
      <c r="C186" t="s">
        <v>435</v>
      </c>
      <c r="D186" t="s">
        <v>436</v>
      </c>
      <c r="E186" s="1">
        <v>45390</v>
      </c>
      <c r="F186" s="1">
        <v>45516</v>
      </c>
      <c r="G186" t="s">
        <v>32</v>
      </c>
      <c r="I186" t="s">
        <v>437</v>
      </c>
      <c r="J186" t="s">
        <v>32</v>
      </c>
      <c r="K186" t="str">
        <f t="shared" si="2"/>
        <v>p1</v>
      </c>
      <c r="L186" t="s">
        <v>23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  <c r="R186" t="s">
        <v>23</v>
      </c>
    </row>
    <row r="187" spans="1:18" x14ac:dyDescent="0.45">
      <c r="A187">
        <v>65471</v>
      </c>
      <c r="B187" t="s">
        <v>118</v>
      </c>
      <c r="C187" t="s">
        <v>438</v>
      </c>
      <c r="D187" t="s">
        <v>438</v>
      </c>
      <c r="E187" s="1">
        <v>45397</v>
      </c>
      <c r="F187" s="1">
        <v>45505</v>
      </c>
      <c r="G187" t="s">
        <v>28</v>
      </c>
      <c r="I187" t="s">
        <v>439</v>
      </c>
      <c r="J187" t="s">
        <v>25</v>
      </c>
      <c r="K187" t="str">
        <f t="shared" si="2"/>
        <v>p1</v>
      </c>
      <c r="L187" t="s">
        <v>39</v>
      </c>
      <c r="M187" s="1">
        <v>45399</v>
      </c>
      <c r="N187" s="1">
        <v>45411</v>
      </c>
      <c r="O187" s="1">
        <v>45424</v>
      </c>
      <c r="P187" s="1">
        <v>45442</v>
      </c>
      <c r="Q187" t="s">
        <v>23</v>
      </c>
      <c r="R187" t="s">
        <v>23</v>
      </c>
    </row>
    <row r="188" spans="1:18" x14ac:dyDescent="0.45">
      <c r="A188">
        <v>65480</v>
      </c>
      <c r="B188" t="s">
        <v>159</v>
      </c>
      <c r="C188" t="s">
        <v>440</v>
      </c>
      <c r="D188" t="s">
        <v>441</v>
      </c>
      <c r="E188" s="1">
        <v>45412</v>
      </c>
      <c r="F188" s="1">
        <v>45559</v>
      </c>
      <c r="G188" t="s">
        <v>28</v>
      </c>
      <c r="I188" t="s">
        <v>442</v>
      </c>
      <c r="J188" t="s">
        <v>25</v>
      </c>
      <c r="K188" t="str">
        <f t="shared" si="2"/>
        <v>p1</v>
      </c>
      <c r="L188" t="s">
        <v>39</v>
      </c>
      <c r="M188" t="s">
        <v>39</v>
      </c>
      <c r="N188" t="s">
        <v>39</v>
      </c>
      <c r="O188" s="1">
        <v>45429</v>
      </c>
      <c r="P188" s="1">
        <v>45450</v>
      </c>
      <c r="Q188" t="s">
        <v>23</v>
      </c>
      <c r="R188" t="s">
        <v>23</v>
      </c>
    </row>
    <row r="189" spans="1:18" x14ac:dyDescent="0.45">
      <c r="A189">
        <v>65481</v>
      </c>
      <c r="B189" t="s">
        <v>159</v>
      </c>
      <c r="C189" t="s">
        <v>443</v>
      </c>
      <c r="D189" t="s">
        <v>444</v>
      </c>
      <c r="E189" s="1">
        <v>45412</v>
      </c>
      <c r="F189" s="1">
        <v>45546</v>
      </c>
      <c r="G189" t="s">
        <v>70</v>
      </c>
      <c r="I189" t="s">
        <v>445</v>
      </c>
      <c r="J189" t="s">
        <v>25</v>
      </c>
      <c r="K189" t="str">
        <f t="shared" si="2"/>
        <v>p1</v>
      </c>
      <c r="L189" t="s">
        <v>39</v>
      </c>
      <c r="M189" t="s">
        <v>39</v>
      </c>
      <c r="N189" t="s">
        <v>39</v>
      </c>
      <c r="O189" t="s">
        <v>39</v>
      </c>
      <c r="P189" s="1">
        <v>45456</v>
      </c>
      <c r="Q189" t="s">
        <v>23</v>
      </c>
      <c r="R189" t="s">
        <v>23</v>
      </c>
    </row>
    <row r="190" spans="1:18" x14ac:dyDescent="0.45">
      <c r="A190">
        <v>65482</v>
      </c>
      <c r="B190" t="s">
        <v>159</v>
      </c>
      <c r="C190" t="s">
        <v>446</v>
      </c>
      <c r="D190" t="s">
        <v>446</v>
      </c>
      <c r="E190" s="1">
        <v>45408</v>
      </c>
      <c r="F190" s="1">
        <v>45515</v>
      </c>
      <c r="G190" t="s">
        <v>19</v>
      </c>
      <c r="H190" t="s">
        <v>169</v>
      </c>
      <c r="I190" t="s">
        <v>447</v>
      </c>
      <c r="J190" t="s">
        <v>25</v>
      </c>
      <c r="K190" t="str">
        <f t="shared" si="2"/>
        <v>p1</v>
      </c>
      <c r="L190" t="s">
        <v>39</v>
      </c>
      <c r="M190" t="s">
        <v>39</v>
      </c>
      <c r="N190" t="s">
        <v>39</v>
      </c>
      <c r="O190" s="1">
        <v>45412</v>
      </c>
      <c r="P190" s="1">
        <v>45439</v>
      </c>
      <c r="Q190" t="s">
        <v>23</v>
      </c>
      <c r="R190" t="s">
        <v>23</v>
      </c>
    </row>
    <row r="191" spans="1:18" x14ac:dyDescent="0.45">
      <c r="A191">
        <v>65482</v>
      </c>
      <c r="B191" t="s">
        <v>159</v>
      </c>
      <c r="C191" t="s">
        <v>446</v>
      </c>
      <c r="D191" t="s">
        <v>446</v>
      </c>
      <c r="E191" s="1">
        <v>45408</v>
      </c>
      <c r="F191" s="1">
        <v>45515</v>
      </c>
      <c r="G191" t="s">
        <v>19</v>
      </c>
      <c r="H191" t="s">
        <v>169</v>
      </c>
      <c r="I191" t="s">
        <v>448</v>
      </c>
      <c r="J191" t="s">
        <v>25</v>
      </c>
      <c r="K191" t="str">
        <f t="shared" si="2"/>
        <v>p2</v>
      </c>
      <c r="L191" t="s">
        <v>23</v>
      </c>
      <c r="M191" s="1">
        <v>45425</v>
      </c>
      <c r="N191" s="1">
        <v>45437</v>
      </c>
      <c r="O191" s="1">
        <v>45454</v>
      </c>
      <c r="P191" s="1">
        <v>45459</v>
      </c>
      <c r="Q191" t="s">
        <v>23</v>
      </c>
      <c r="R191" t="s">
        <v>23</v>
      </c>
    </row>
    <row r="192" spans="1:18" x14ac:dyDescent="0.45">
      <c r="A192">
        <v>65483</v>
      </c>
      <c r="B192" t="s">
        <v>159</v>
      </c>
      <c r="C192" t="s">
        <v>449</v>
      </c>
      <c r="D192" t="s">
        <v>449</v>
      </c>
      <c r="E192" s="1">
        <v>45412</v>
      </c>
      <c r="F192" s="1">
        <v>45535</v>
      </c>
      <c r="G192" t="s">
        <v>70</v>
      </c>
      <c r="I192" t="s">
        <v>450</v>
      </c>
      <c r="J192" t="s">
        <v>25</v>
      </c>
      <c r="K192" t="str">
        <f t="shared" si="2"/>
        <v>p1</v>
      </c>
      <c r="L192" t="s">
        <v>39</v>
      </c>
      <c r="M192" t="s">
        <v>39</v>
      </c>
      <c r="N192" t="s">
        <v>39</v>
      </c>
      <c r="O192" s="1">
        <v>45416</v>
      </c>
      <c r="P192" s="1">
        <v>45473</v>
      </c>
      <c r="Q192" t="s">
        <v>23</v>
      </c>
      <c r="R192" t="s">
        <v>23</v>
      </c>
    </row>
    <row r="193" spans="1:18" x14ac:dyDescent="0.45">
      <c r="A193">
        <v>66012</v>
      </c>
      <c r="B193" t="s">
        <v>210</v>
      </c>
      <c r="C193" t="s">
        <v>451</v>
      </c>
      <c r="D193" t="s">
        <v>451</v>
      </c>
      <c r="E193" s="1">
        <v>45439</v>
      </c>
      <c r="F193" s="1">
        <v>45445</v>
      </c>
      <c r="G193" t="s">
        <v>42</v>
      </c>
      <c r="I193" t="s">
        <v>452</v>
      </c>
      <c r="J193" t="s">
        <v>25</v>
      </c>
      <c r="K193" t="str">
        <f t="shared" si="2"/>
        <v>p1</v>
      </c>
      <c r="L193" t="s">
        <v>39</v>
      </c>
      <c r="M193" t="s">
        <v>39</v>
      </c>
      <c r="N193" t="s">
        <v>39</v>
      </c>
      <c r="O193" t="s">
        <v>39</v>
      </c>
      <c r="P193" t="s">
        <v>51</v>
      </c>
      <c r="Q193" t="s">
        <v>23</v>
      </c>
      <c r="R193" t="s">
        <v>23</v>
      </c>
    </row>
    <row r="194" spans="1:18" x14ac:dyDescent="0.45">
      <c r="A194">
        <v>77023</v>
      </c>
      <c r="B194" t="s">
        <v>93</v>
      </c>
      <c r="C194" t="s">
        <v>453</v>
      </c>
      <c r="D194" t="s">
        <v>453</v>
      </c>
      <c r="E194" s="1">
        <v>45398</v>
      </c>
      <c r="F194" s="1">
        <v>45445</v>
      </c>
      <c r="G194" t="s">
        <v>32</v>
      </c>
      <c r="I194" t="s">
        <v>454</v>
      </c>
      <c r="J194" t="s">
        <v>32</v>
      </c>
      <c r="K194" t="str">
        <f t="shared" si="2"/>
        <v>p1</v>
      </c>
      <c r="L194" s="1">
        <v>45402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</row>
    <row r="195" spans="1:18" x14ac:dyDescent="0.45">
      <c r="A195">
        <v>82621</v>
      </c>
      <c r="B195" t="s">
        <v>52</v>
      </c>
      <c r="C195" t="s">
        <v>455</v>
      </c>
      <c r="D195" t="s">
        <v>456</v>
      </c>
      <c r="E195" s="1">
        <v>43192</v>
      </c>
      <c r="F195" s="1">
        <v>43221</v>
      </c>
      <c r="G195" t="s">
        <v>42</v>
      </c>
      <c r="I195" t="s">
        <v>457</v>
      </c>
      <c r="J195" t="s">
        <v>22</v>
      </c>
      <c r="K195" t="str">
        <f t="shared" ref="K195" si="3">RIGHT(I195,2)</f>
        <v>p1</v>
      </c>
      <c r="L195" s="1">
        <v>43200</v>
      </c>
      <c r="M195" s="1">
        <v>43210</v>
      </c>
      <c r="N195" t="s">
        <v>23</v>
      </c>
      <c r="O195" t="s">
        <v>23</v>
      </c>
      <c r="P195" t="s">
        <v>23</v>
      </c>
      <c r="Q195">
        <v>43212</v>
      </c>
      <c r="R195" t="s">
        <v>23</v>
      </c>
    </row>
  </sheetData>
  <autoFilter ref="A1:R195" xr:uid="{40CC8E2E-7286-47B5-AC64-B3EE4F03820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 (2)</vt:lpstr>
      <vt:lpstr>Sheet1</vt:lpstr>
      <vt:lpstr>Sheet7</vt:lpstr>
      <vt:lpstr>breeding 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Schackwitz</cp:lastModifiedBy>
  <dcterms:created xsi:type="dcterms:W3CDTF">2025-12-23T04:46:43Z</dcterms:created>
  <dcterms:modified xsi:type="dcterms:W3CDTF">2025-12-23T04:46:43Z</dcterms:modified>
</cp:coreProperties>
</file>